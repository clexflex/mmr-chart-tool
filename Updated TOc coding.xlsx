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CE7ECC90-1B0D-4ACE-88E2-D2FB82E6A7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-Seg" sheetId="10" r:id="rId1"/>
    <sheet name="3-Seg" sheetId="9" r:id="rId2"/>
    <sheet name="4-Seg" sheetId="8" r:id="rId3"/>
    <sheet name="5-Seg" sheetId="7" r:id="rId4"/>
    <sheet name="6-Seg" sheetId="1" r:id="rId5"/>
    <sheet name="7-Seg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62" i="10" l="1"/>
  <c r="K395" i="10"/>
  <c r="K389" i="10"/>
  <c r="K388" i="10"/>
  <c r="K387" i="10"/>
  <c r="K386" i="10"/>
  <c r="K385" i="10"/>
  <c r="K384" i="10"/>
  <c r="K383" i="10"/>
  <c r="K382" i="10"/>
  <c r="K381" i="10"/>
  <c r="K380" i="10"/>
  <c r="K379" i="10"/>
  <c r="K378" i="10"/>
  <c r="K377" i="10"/>
  <c r="K376" i="10"/>
  <c r="K375" i="10"/>
  <c r="K374" i="10"/>
  <c r="K373" i="10"/>
  <c r="K372" i="10"/>
  <c r="K371" i="10"/>
  <c r="K370" i="10"/>
  <c r="K369" i="10"/>
  <c r="K368" i="10"/>
  <c r="K367" i="10"/>
  <c r="K366" i="10"/>
  <c r="K365" i="10"/>
  <c r="K364" i="10"/>
  <c r="K363" i="10"/>
  <c r="K362" i="10"/>
  <c r="K361" i="10"/>
  <c r="K360" i="10"/>
  <c r="K359" i="10"/>
  <c r="K358" i="10"/>
  <c r="K357" i="10"/>
  <c r="K356" i="10"/>
  <c r="K355" i="10"/>
  <c r="K354" i="10"/>
  <c r="K353" i="10"/>
  <c r="K352" i="10"/>
  <c r="K351" i="10"/>
  <c r="K340" i="10"/>
  <c r="K337" i="10"/>
  <c r="K336" i="10"/>
  <c r="K335" i="10"/>
  <c r="K334" i="10"/>
  <c r="K333" i="10"/>
  <c r="K332" i="10"/>
  <c r="K331" i="10"/>
  <c r="K330" i="10"/>
  <c r="K329" i="10"/>
  <c r="K328" i="10"/>
  <c r="K327" i="10"/>
  <c r="K326" i="10"/>
  <c r="K325" i="10"/>
  <c r="K323" i="10"/>
  <c r="K322" i="10"/>
  <c r="K321" i="10"/>
  <c r="K320" i="10"/>
  <c r="K319" i="10"/>
  <c r="K318" i="10"/>
  <c r="K317" i="10"/>
  <c r="K316" i="10"/>
  <c r="K315" i="10"/>
  <c r="K314" i="10"/>
  <c r="K313" i="10"/>
  <c r="K312" i="10"/>
  <c r="K311" i="10"/>
  <c r="K310" i="10"/>
  <c r="K309" i="10"/>
  <c r="K308" i="10"/>
  <c r="K306" i="10"/>
  <c r="K305" i="10"/>
  <c r="K304" i="10"/>
  <c r="K303" i="10"/>
  <c r="K302" i="10"/>
  <c r="K301" i="10"/>
  <c r="K300" i="10"/>
  <c r="K299" i="10"/>
  <c r="K298" i="10"/>
  <c r="K297" i="10"/>
  <c r="K296" i="10"/>
  <c r="K295" i="10"/>
  <c r="K294" i="10"/>
  <c r="K293" i="10"/>
  <c r="K292" i="10"/>
  <c r="K291" i="10"/>
  <c r="K290" i="10"/>
  <c r="K289" i="10"/>
  <c r="K288" i="10"/>
  <c r="K287" i="10"/>
  <c r="K286" i="10"/>
  <c r="K285" i="10"/>
  <c r="K284" i="10"/>
  <c r="K283" i="10"/>
  <c r="K282" i="10"/>
  <c r="K281" i="10"/>
  <c r="K280" i="10"/>
  <c r="K279" i="10"/>
  <c r="K278" i="10"/>
  <c r="K277" i="10"/>
  <c r="K276" i="10"/>
  <c r="K275" i="10"/>
  <c r="K274" i="10"/>
  <c r="K273" i="10"/>
  <c r="K271" i="10"/>
  <c r="K270" i="10"/>
  <c r="K269" i="10"/>
  <c r="K268" i="10"/>
  <c r="K267" i="10"/>
  <c r="K266" i="10"/>
  <c r="K265" i="10"/>
  <c r="K264" i="10"/>
  <c r="K263" i="10"/>
  <c r="K261" i="10"/>
  <c r="K260" i="10"/>
  <c r="K259" i="10"/>
  <c r="K258" i="10"/>
  <c r="K257" i="10"/>
  <c r="K256" i="10"/>
  <c r="K255" i="10"/>
  <c r="K254" i="10"/>
  <c r="K253" i="10"/>
  <c r="K252" i="10"/>
  <c r="K251" i="10"/>
  <c r="K250" i="10"/>
  <c r="K249" i="10"/>
  <c r="K248" i="10"/>
  <c r="K247" i="10"/>
  <c r="K246" i="10"/>
  <c r="K245" i="10"/>
  <c r="K244" i="10"/>
  <c r="K242" i="10"/>
  <c r="K241" i="10"/>
  <c r="K240" i="10"/>
  <c r="K239" i="10"/>
  <c r="K238" i="10"/>
  <c r="K237" i="10"/>
  <c r="K236" i="10"/>
  <c r="K235" i="10"/>
  <c r="K234" i="10"/>
  <c r="K233" i="10"/>
  <c r="K232" i="10"/>
  <c r="K231" i="10"/>
  <c r="K230" i="10"/>
  <c r="K229" i="10"/>
  <c r="K228" i="10"/>
  <c r="K227" i="10"/>
  <c r="K226" i="10"/>
  <c r="K225" i="10"/>
  <c r="K224" i="10"/>
  <c r="K223" i="10"/>
  <c r="K222" i="10"/>
  <c r="K221" i="10"/>
  <c r="K220" i="10"/>
  <c r="K219" i="10"/>
  <c r="K218" i="10"/>
  <c r="K217" i="10"/>
  <c r="K216" i="10"/>
  <c r="K215" i="10"/>
  <c r="K214" i="10"/>
  <c r="K213" i="10"/>
  <c r="K212" i="10"/>
  <c r="K211" i="10"/>
  <c r="K210" i="10"/>
  <c r="K209" i="10"/>
  <c r="K208" i="10"/>
  <c r="K207" i="10"/>
  <c r="K206" i="10"/>
  <c r="K205" i="10"/>
  <c r="K204" i="10"/>
  <c r="K203" i="10"/>
  <c r="K202" i="10"/>
  <c r="K201" i="10"/>
  <c r="K200" i="10"/>
  <c r="K199" i="10"/>
  <c r="K198" i="10"/>
  <c r="K197" i="10"/>
  <c r="K196" i="10"/>
  <c r="K195" i="10"/>
  <c r="K194" i="10"/>
  <c r="K193" i="10"/>
  <c r="K192" i="10"/>
  <c r="K191" i="10"/>
  <c r="K190" i="10"/>
  <c r="K189" i="10"/>
  <c r="K188" i="10"/>
  <c r="K187" i="10"/>
  <c r="K186" i="10"/>
  <c r="K185" i="10"/>
  <c r="K184" i="10"/>
  <c r="K183" i="10"/>
  <c r="K182" i="10"/>
  <c r="K181" i="10"/>
  <c r="K180" i="10"/>
  <c r="K179" i="10"/>
  <c r="K178" i="10"/>
  <c r="K177" i="10"/>
  <c r="K176" i="10"/>
  <c r="K175" i="10"/>
  <c r="K174" i="10"/>
  <c r="K173" i="10"/>
  <c r="K172" i="10"/>
  <c r="K171" i="10"/>
  <c r="K170" i="10"/>
  <c r="K169" i="10"/>
  <c r="K168" i="10"/>
  <c r="K167" i="10"/>
  <c r="K166" i="10"/>
  <c r="K165" i="10"/>
  <c r="K164" i="10"/>
  <c r="K163" i="10"/>
  <c r="K162" i="10"/>
  <c r="K161" i="10"/>
  <c r="K160" i="10"/>
  <c r="K159" i="10"/>
  <c r="K158" i="10"/>
  <c r="K157" i="10"/>
  <c r="K156" i="10"/>
  <c r="K155" i="10"/>
  <c r="K154" i="10"/>
  <c r="K153" i="10"/>
  <c r="K152" i="10"/>
  <c r="K151" i="10"/>
  <c r="K150" i="10"/>
  <c r="K149" i="10"/>
  <c r="K148" i="10"/>
  <c r="K147" i="10"/>
  <c r="K146" i="10"/>
  <c r="K145" i="10"/>
  <c r="K144" i="10"/>
  <c r="K143" i="10"/>
  <c r="K142" i="10"/>
  <c r="K141" i="10"/>
  <c r="K140" i="10"/>
  <c r="K139" i="10"/>
  <c r="K138" i="10"/>
  <c r="K137" i="10"/>
  <c r="K136" i="10"/>
  <c r="K135" i="10"/>
  <c r="K134" i="10"/>
  <c r="K133" i="10"/>
  <c r="K132" i="10"/>
  <c r="K131" i="10"/>
  <c r="K130" i="10"/>
  <c r="K129" i="10"/>
  <c r="K128" i="10"/>
  <c r="K127" i="10"/>
  <c r="K126" i="10"/>
  <c r="K125" i="10"/>
  <c r="K124" i="10"/>
  <c r="K123" i="10"/>
  <c r="K122" i="10"/>
  <c r="K121" i="10"/>
  <c r="K120" i="10"/>
  <c r="K119" i="10"/>
  <c r="K118" i="10"/>
  <c r="K117" i="10"/>
  <c r="K116" i="10"/>
  <c r="K115" i="10"/>
  <c r="K114" i="10"/>
  <c r="K113" i="10"/>
  <c r="K112" i="10"/>
  <c r="K111" i="10"/>
  <c r="K110" i="10"/>
  <c r="K108" i="10"/>
  <c r="K107" i="10"/>
  <c r="K106" i="10"/>
  <c r="K105" i="10"/>
  <c r="K104" i="10"/>
  <c r="K103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2" i="10"/>
  <c r="K442" i="9"/>
  <c r="K504" i="9"/>
  <c r="K498" i="9"/>
  <c r="K497" i="9"/>
  <c r="K496" i="9"/>
  <c r="K495" i="9"/>
  <c r="K494" i="9"/>
  <c r="K493" i="9"/>
  <c r="K492" i="9"/>
  <c r="K491" i="9"/>
  <c r="K490" i="9"/>
  <c r="K489" i="9"/>
  <c r="K488" i="9"/>
  <c r="K487" i="9"/>
  <c r="K486" i="9"/>
  <c r="K485" i="9"/>
  <c r="K484" i="9"/>
  <c r="K483" i="9"/>
  <c r="K482" i="9"/>
  <c r="K481" i="9"/>
  <c r="K480" i="9"/>
  <c r="K479" i="9"/>
  <c r="K478" i="9"/>
  <c r="K477" i="9"/>
  <c r="K476" i="9"/>
  <c r="K475" i="9"/>
  <c r="K474" i="9"/>
  <c r="K473" i="9"/>
  <c r="K472" i="9"/>
  <c r="K471" i="9"/>
  <c r="K470" i="9"/>
  <c r="K469" i="9"/>
  <c r="K468" i="9"/>
  <c r="K467" i="9"/>
  <c r="K466" i="9"/>
  <c r="K465" i="9"/>
  <c r="K464" i="9"/>
  <c r="K463" i="9"/>
  <c r="K462" i="9"/>
  <c r="K461" i="9"/>
  <c r="K460" i="9"/>
  <c r="K449" i="9"/>
  <c r="K446" i="9"/>
  <c r="K445" i="9"/>
  <c r="K444" i="9"/>
  <c r="K443" i="9"/>
  <c r="K441" i="9"/>
  <c r="K440" i="9"/>
  <c r="K439" i="9"/>
  <c r="K438" i="9"/>
  <c r="K437" i="9"/>
  <c r="K436" i="9"/>
  <c r="K435" i="9"/>
  <c r="K434" i="9"/>
  <c r="K433" i="9"/>
  <c r="K432" i="9"/>
  <c r="K431" i="9"/>
  <c r="K430" i="9"/>
  <c r="K428" i="9"/>
  <c r="K427" i="9"/>
  <c r="K426" i="9"/>
  <c r="K425" i="9"/>
  <c r="K424" i="9"/>
  <c r="K423" i="9"/>
  <c r="K422" i="9"/>
  <c r="K421" i="9"/>
  <c r="K420" i="9"/>
  <c r="K419" i="9"/>
  <c r="K418" i="9"/>
  <c r="K417" i="9"/>
  <c r="K416" i="9"/>
  <c r="K415" i="9"/>
  <c r="K414" i="9"/>
  <c r="K413" i="9"/>
  <c r="K412" i="9"/>
  <c r="K411" i="9"/>
  <c r="K410" i="9"/>
  <c r="K409" i="9"/>
  <c r="K408" i="9"/>
  <c r="K406" i="9"/>
  <c r="K405" i="9"/>
  <c r="K404" i="9"/>
  <c r="K403" i="9"/>
  <c r="K402" i="9"/>
  <c r="K401" i="9"/>
  <c r="K400" i="9"/>
  <c r="K399" i="9"/>
  <c r="K398" i="9"/>
  <c r="K397" i="9"/>
  <c r="K396" i="9"/>
  <c r="K395" i="9"/>
  <c r="K394" i="9"/>
  <c r="K393" i="9"/>
  <c r="K392" i="9"/>
  <c r="K391" i="9"/>
  <c r="K390" i="9"/>
  <c r="K389" i="9"/>
  <c r="K388" i="9"/>
  <c r="K387" i="9"/>
  <c r="K386" i="9"/>
  <c r="K385" i="9"/>
  <c r="K384" i="9"/>
  <c r="K383" i="9"/>
  <c r="K382" i="9"/>
  <c r="K381" i="9"/>
  <c r="K380" i="9"/>
  <c r="K379" i="9"/>
  <c r="K378" i="9"/>
  <c r="K377" i="9"/>
  <c r="K376" i="9"/>
  <c r="K375" i="9"/>
  <c r="K374" i="9"/>
  <c r="K373" i="9"/>
  <c r="K372" i="9"/>
  <c r="K371" i="9"/>
  <c r="K370" i="9"/>
  <c r="K369" i="9"/>
  <c r="K368" i="9"/>
  <c r="K367" i="9"/>
  <c r="K366" i="9"/>
  <c r="K365" i="9"/>
  <c r="K364" i="9"/>
  <c r="K363" i="9"/>
  <c r="K362" i="9"/>
  <c r="K360" i="9"/>
  <c r="K359" i="9"/>
  <c r="K358" i="9"/>
  <c r="K357" i="9"/>
  <c r="K356" i="9"/>
  <c r="K355" i="9"/>
  <c r="K354" i="9"/>
  <c r="K353" i="9"/>
  <c r="K352" i="9"/>
  <c r="K351" i="9"/>
  <c r="K350" i="9"/>
  <c r="K349" i="9"/>
  <c r="K348" i="9"/>
  <c r="K347" i="9"/>
  <c r="K346" i="9"/>
  <c r="K345" i="9"/>
  <c r="K344" i="9"/>
  <c r="K343" i="9"/>
  <c r="K342" i="9"/>
  <c r="K341" i="9"/>
  <c r="K340" i="9"/>
  <c r="K339" i="9"/>
  <c r="K338" i="9"/>
  <c r="K337" i="9"/>
  <c r="K336" i="9"/>
  <c r="K335" i="9"/>
  <c r="K334" i="9"/>
  <c r="K333" i="9"/>
  <c r="K332" i="9"/>
  <c r="K331" i="9"/>
  <c r="K330" i="9"/>
  <c r="K329" i="9"/>
  <c r="K328" i="9"/>
  <c r="K327" i="9"/>
  <c r="K326" i="9"/>
  <c r="K325" i="9"/>
  <c r="K324" i="9"/>
  <c r="K322" i="9"/>
  <c r="K321" i="9"/>
  <c r="K320" i="9"/>
  <c r="K319" i="9"/>
  <c r="K318" i="9"/>
  <c r="K317" i="9"/>
  <c r="K316" i="9"/>
  <c r="K315" i="9"/>
  <c r="K314" i="9"/>
  <c r="K313" i="9"/>
  <c r="K312" i="9"/>
  <c r="K311" i="9"/>
  <c r="K310" i="9"/>
  <c r="K309" i="9"/>
  <c r="K308" i="9"/>
  <c r="K307" i="9"/>
  <c r="K306" i="9"/>
  <c r="K305" i="9"/>
  <c r="K304" i="9"/>
  <c r="K303" i="9"/>
  <c r="K302" i="9"/>
  <c r="K301" i="9"/>
  <c r="K300" i="9"/>
  <c r="K299" i="9"/>
  <c r="K298" i="9"/>
  <c r="K297" i="9"/>
  <c r="K296" i="9"/>
  <c r="K295" i="9"/>
  <c r="K294" i="9"/>
  <c r="K293" i="9"/>
  <c r="K292" i="9"/>
  <c r="K291" i="9"/>
  <c r="K290" i="9"/>
  <c r="K289" i="9"/>
  <c r="K288" i="9"/>
  <c r="K287" i="9"/>
  <c r="K286" i="9"/>
  <c r="K285" i="9"/>
  <c r="K284" i="9"/>
  <c r="K283" i="9"/>
  <c r="K282" i="9"/>
  <c r="K281" i="9"/>
  <c r="K280" i="9"/>
  <c r="K279" i="9"/>
  <c r="K278" i="9"/>
  <c r="K277" i="9"/>
  <c r="K276" i="9"/>
  <c r="K275" i="9"/>
  <c r="K274" i="9"/>
  <c r="K273" i="9"/>
  <c r="K272" i="9"/>
  <c r="K271" i="9"/>
  <c r="K270" i="9"/>
  <c r="K269" i="9"/>
  <c r="K268" i="9"/>
  <c r="K267" i="9"/>
  <c r="K266" i="9"/>
  <c r="K265" i="9"/>
  <c r="K264" i="9"/>
  <c r="K263" i="9"/>
  <c r="K262" i="9"/>
  <c r="K261" i="9"/>
  <c r="K260" i="9"/>
  <c r="K259" i="9"/>
  <c r="K258" i="9"/>
  <c r="K257" i="9"/>
  <c r="K256" i="9"/>
  <c r="K255" i="9"/>
  <c r="K254" i="9"/>
  <c r="K253" i="9"/>
  <c r="K252" i="9"/>
  <c r="K251" i="9"/>
  <c r="K250" i="9"/>
  <c r="K249" i="9"/>
  <c r="K248" i="9"/>
  <c r="K247" i="9"/>
  <c r="K246" i="9"/>
  <c r="K245" i="9"/>
  <c r="K244" i="9"/>
  <c r="K243" i="9"/>
  <c r="K242" i="9"/>
  <c r="K241" i="9"/>
  <c r="K240" i="9"/>
  <c r="K239" i="9"/>
  <c r="K238" i="9"/>
  <c r="K237" i="9"/>
  <c r="K236" i="9"/>
  <c r="K235" i="9"/>
  <c r="K234" i="9"/>
  <c r="K233" i="9"/>
  <c r="K232" i="9"/>
  <c r="K231" i="9"/>
  <c r="K230" i="9"/>
  <c r="K229" i="9"/>
  <c r="K228" i="9"/>
  <c r="K227" i="9"/>
  <c r="K226" i="9"/>
  <c r="K225" i="9"/>
  <c r="K224" i="9"/>
  <c r="K223" i="9"/>
  <c r="K222" i="9"/>
  <c r="K221" i="9"/>
  <c r="K220" i="9"/>
  <c r="K219" i="9"/>
  <c r="K218" i="9"/>
  <c r="K217" i="9"/>
  <c r="K216" i="9"/>
  <c r="K215" i="9"/>
  <c r="K214" i="9"/>
  <c r="K213" i="9"/>
  <c r="K212" i="9"/>
  <c r="K211" i="9"/>
  <c r="K210" i="9"/>
  <c r="K209" i="9"/>
  <c r="K208" i="9"/>
  <c r="K207" i="9"/>
  <c r="K206" i="9"/>
  <c r="K205" i="9"/>
  <c r="K204" i="9"/>
  <c r="K203" i="9"/>
  <c r="K202" i="9"/>
  <c r="K201" i="9"/>
  <c r="K200" i="9"/>
  <c r="K199" i="9"/>
  <c r="K198" i="9"/>
  <c r="K197" i="9"/>
  <c r="K196" i="9"/>
  <c r="K195" i="9"/>
  <c r="K194" i="9"/>
  <c r="K193" i="9"/>
  <c r="K192" i="9"/>
  <c r="K191" i="9"/>
  <c r="K190" i="9"/>
  <c r="K189" i="9"/>
  <c r="K188" i="9"/>
  <c r="K187" i="9"/>
  <c r="K186" i="9"/>
  <c r="K185" i="9"/>
  <c r="K184" i="9"/>
  <c r="K183" i="9"/>
  <c r="K182" i="9"/>
  <c r="K181" i="9"/>
  <c r="K180" i="9"/>
  <c r="K179" i="9"/>
  <c r="K178" i="9"/>
  <c r="K177" i="9"/>
  <c r="K176" i="9"/>
  <c r="K175" i="9"/>
  <c r="K174" i="9"/>
  <c r="K173" i="9"/>
  <c r="K172" i="9"/>
  <c r="K171" i="9"/>
  <c r="K170" i="9"/>
  <c r="K169" i="9"/>
  <c r="K168" i="9"/>
  <c r="K167" i="9"/>
  <c r="K166" i="9"/>
  <c r="K165" i="9"/>
  <c r="K164" i="9"/>
  <c r="K163" i="9"/>
  <c r="K162" i="9"/>
  <c r="K161" i="9"/>
  <c r="K160" i="9"/>
  <c r="K159" i="9"/>
  <c r="K158" i="9"/>
  <c r="K157" i="9"/>
  <c r="K156" i="9"/>
  <c r="K155" i="9"/>
  <c r="K154" i="9"/>
  <c r="K153" i="9"/>
  <c r="K152" i="9"/>
  <c r="K151" i="9"/>
  <c r="K150" i="9"/>
  <c r="K149" i="9"/>
  <c r="K148" i="9"/>
  <c r="K147" i="9"/>
  <c r="K146" i="9"/>
  <c r="K145" i="9"/>
  <c r="K144" i="9"/>
  <c r="K143" i="9"/>
  <c r="K142" i="9"/>
  <c r="K141" i="9"/>
  <c r="K140" i="9"/>
  <c r="K139" i="9"/>
  <c r="K138" i="9"/>
  <c r="K137" i="9"/>
  <c r="K136" i="9"/>
  <c r="K135" i="9"/>
  <c r="K134" i="9"/>
  <c r="K133" i="9"/>
  <c r="K132" i="9"/>
  <c r="K131" i="9"/>
  <c r="K130" i="9"/>
  <c r="K129" i="9"/>
  <c r="K128" i="9"/>
  <c r="K127" i="9"/>
  <c r="K126" i="9"/>
  <c r="K124" i="9"/>
  <c r="K123" i="9"/>
  <c r="K122" i="9"/>
  <c r="K121" i="9"/>
  <c r="K120" i="9"/>
  <c r="K119" i="9"/>
  <c r="K118" i="9"/>
  <c r="K117" i="9"/>
  <c r="K116" i="9"/>
  <c r="K115" i="9"/>
  <c r="K114" i="9"/>
  <c r="K113" i="9"/>
  <c r="K112" i="9"/>
  <c r="K111" i="9"/>
  <c r="K110" i="9"/>
  <c r="K109" i="9"/>
  <c r="K108" i="9"/>
  <c r="K107" i="9"/>
  <c r="K106" i="9"/>
  <c r="K105" i="9"/>
  <c r="K104" i="9"/>
  <c r="K103" i="9"/>
  <c r="K102" i="9"/>
  <c r="K101" i="9"/>
  <c r="K100" i="9"/>
  <c r="K99" i="9"/>
  <c r="K98" i="9"/>
  <c r="K97" i="9"/>
  <c r="K96" i="9"/>
  <c r="K95" i="9"/>
  <c r="K94" i="9"/>
  <c r="K93" i="9"/>
  <c r="K92" i="9"/>
  <c r="K91" i="9"/>
  <c r="K90" i="9"/>
  <c r="K89" i="9"/>
  <c r="K88" i="9"/>
  <c r="K87" i="9"/>
  <c r="K86" i="9"/>
  <c r="K85" i="9"/>
  <c r="K84" i="9"/>
  <c r="K83" i="9"/>
  <c r="K82" i="9"/>
  <c r="K81" i="9"/>
  <c r="K80" i="9"/>
  <c r="K79" i="9"/>
  <c r="K78" i="9"/>
  <c r="K77" i="9"/>
  <c r="K76" i="9"/>
  <c r="K75" i="9"/>
  <c r="K74" i="9"/>
  <c r="K73" i="9"/>
  <c r="K72" i="9"/>
  <c r="K71" i="9"/>
  <c r="K70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2" i="9"/>
  <c r="K613" i="8"/>
  <c r="K607" i="8"/>
  <c r="K606" i="8"/>
  <c r="K605" i="8"/>
  <c r="K604" i="8"/>
  <c r="K603" i="8"/>
  <c r="K602" i="8"/>
  <c r="K601" i="8"/>
  <c r="K600" i="8"/>
  <c r="K599" i="8"/>
  <c r="K598" i="8"/>
  <c r="K597" i="8"/>
  <c r="K596" i="8"/>
  <c r="K595" i="8"/>
  <c r="K594" i="8"/>
  <c r="K593" i="8"/>
  <c r="K592" i="8"/>
  <c r="K591" i="8"/>
  <c r="K590" i="8"/>
  <c r="K589" i="8"/>
  <c r="K588" i="8"/>
  <c r="K587" i="8"/>
  <c r="K586" i="8"/>
  <c r="K585" i="8"/>
  <c r="K584" i="8"/>
  <c r="K583" i="8"/>
  <c r="K582" i="8"/>
  <c r="K581" i="8"/>
  <c r="K580" i="8"/>
  <c r="K579" i="8"/>
  <c r="K578" i="8"/>
  <c r="K577" i="8"/>
  <c r="K576" i="8"/>
  <c r="K575" i="8"/>
  <c r="K574" i="8"/>
  <c r="K573" i="8"/>
  <c r="K572" i="8"/>
  <c r="K571" i="8"/>
  <c r="K570" i="8"/>
  <c r="K569" i="8"/>
  <c r="K558" i="8"/>
  <c r="K555" i="8"/>
  <c r="K554" i="8"/>
  <c r="K553" i="8"/>
  <c r="K552" i="8"/>
  <c r="K551" i="8"/>
  <c r="K550" i="8"/>
  <c r="K549" i="8"/>
  <c r="K548" i="8"/>
  <c r="K547" i="8"/>
  <c r="K546" i="8"/>
  <c r="K545" i="8"/>
  <c r="K544" i="8"/>
  <c r="K543" i="8"/>
  <c r="K542" i="8"/>
  <c r="K541" i="8"/>
  <c r="K540" i="8"/>
  <c r="K539" i="8"/>
  <c r="K538" i="8"/>
  <c r="K537" i="8"/>
  <c r="K536" i="8"/>
  <c r="K535" i="8"/>
  <c r="K533" i="8"/>
  <c r="K532" i="8"/>
  <c r="K531" i="8"/>
  <c r="K530" i="8"/>
  <c r="K529" i="8"/>
  <c r="K528" i="8"/>
  <c r="K527" i="8"/>
  <c r="K526" i="8"/>
  <c r="K525" i="8"/>
  <c r="K524" i="8"/>
  <c r="K523" i="8"/>
  <c r="K522" i="8"/>
  <c r="K521" i="8"/>
  <c r="K520" i="8"/>
  <c r="K519" i="8"/>
  <c r="K518" i="8"/>
  <c r="K517" i="8"/>
  <c r="K516" i="8"/>
  <c r="K515" i="8"/>
  <c r="K514" i="8"/>
  <c r="K513" i="8"/>
  <c r="K512" i="8"/>
  <c r="K511" i="8"/>
  <c r="K510" i="8"/>
  <c r="K509" i="8"/>
  <c r="K508" i="8"/>
  <c r="K506" i="8"/>
  <c r="K505" i="8"/>
  <c r="K504" i="8"/>
  <c r="K503" i="8"/>
  <c r="K502" i="8"/>
  <c r="K501" i="8"/>
  <c r="K500" i="8"/>
  <c r="K499" i="8"/>
  <c r="K498" i="8"/>
  <c r="K497" i="8"/>
  <c r="K496" i="8"/>
  <c r="K495" i="8"/>
  <c r="K494" i="8"/>
  <c r="K493" i="8"/>
  <c r="K492" i="8"/>
  <c r="K491" i="8"/>
  <c r="K490" i="8"/>
  <c r="K489" i="8"/>
  <c r="K488" i="8"/>
  <c r="K487" i="8"/>
  <c r="K486" i="8"/>
  <c r="K485" i="8"/>
  <c r="K484" i="8"/>
  <c r="K483" i="8"/>
  <c r="K482" i="8"/>
  <c r="K481" i="8"/>
  <c r="K480" i="8"/>
  <c r="K479" i="8"/>
  <c r="K478" i="8"/>
  <c r="K477" i="8"/>
  <c r="K476" i="8"/>
  <c r="K475" i="8"/>
  <c r="K474" i="8"/>
  <c r="K473" i="8"/>
  <c r="K472" i="8"/>
  <c r="K471" i="8"/>
  <c r="K470" i="8"/>
  <c r="K469" i="8"/>
  <c r="K468" i="8"/>
  <c r="K467" i="8"/>
  <c r="K466" i="8"/>
  <c r="K465" i="8"/>
  <c r="K464" i="8"/>
  <c r="K463" i="8"/>
  <c r="K462" i="8"/>
  <c r="K461" i="8"/>
  <c r="K460" i="8"/>
  <c r="K459" i="8"/>
  <c r="K458" i="8"/>
  <c r="K457" i="8"/>
  <c r="K456" i="8"/>
  <c r="K455" i="8"/>
  <c r="K454" i="8"/>
  <c r="K453" i="8"/>
  <c r="K452" i="8"/>
  <c r="K451" i="8"/>
  <c r="K449" i="8"/>
  <c r="K448" i="8"/>
  <c r="K447" i="8"/>
  <c r="K446" i="8"/>
  <c r="K445" i="8"/>
  <c r="K444" i="8"/>
  <c r="K443" i="8"/>
  <c r="K442" i="8"/>
  <c r="K441" i="8"/>
  <c r="K440" i="8"/>
  <c r="K439" i="8"/>
  <c r="K438" i="8"/>
  <c r="K437" i="8"/>
  <c r="K436" i="8"/>
  <c r="K435" i="8"/>
  <c r="K434" i="8"/>
  <c r="K433" i="8"/>
  <c r="K432" i="8"/>
  <c r="K431" i="8"/>
  <c r="K430" i="8"/>
  <c r="K429" i="8"/>
  <c r="K428" i="8"/>
  <c r="K427" i="8"/>
  <c r="K426" i="8"/>
  <c r="K425" i="8"/>
  <c r="K424" i="8"/>
  <c r="K423" i="8"/>
  <c r="K422" i="8"/>
  <c r="K421" i="8"/>
  <c r="K420" i="8"/>
  <c r="K419" i="8"/>
  <c r="K418" i="8"/>
  <c r="K417" i="8"/>
  <c r="K416" i="8"/>
  <c r="K415" i="8"/>
  <c r="K414" i="8"/>
  <c r="K413" i="8"/>
  <c r="K412" i="8"/>
  <c r="K411" i="8"/>
  <c r="K410" i="8"/>
  <c r="K409" i="8"/>
  <c r="K408" i="8"/>
  <c r="K407" i="8"/>
  <c r="K406" i="8"/>
  <c r="K405" i="8"/>
  <c r="K404" i="8"/>
  <c r="K402" i="8"/>
  <c r="K401" i="8"/>
  <c r="K400" i="8"/>
  <c r="K399" i="8"/>
  <c r="K398" i="8"/>
  <c r="K397" i="8"/>
  <c r="K396" i="8"/>
  <c r="K395" i="8"/>
  <c r="K394" i="8"/>
  <c r="K393" i="8"/>
  <c r="K392" i="8"/>
  <c r="K391" i="8"/>
  <c r="K390" i="8"/>
  <c r="K389" i="8"/>
  <c r="K388" i="8"/>
  <c r="K387" i="8"/>
  <c r="K386" i="8"/>
  <c r="K385" i="8"/>
  <c r="K384" i="8"/>
  <c r="K383" i="8"/>
  <c r="K382" i="8"/>
  <c r="K381" i="8"/>
  <c r="K380" i="8"/>
  <c r="K379" i="8"/>
  <c r="K378" i="8"/>
  <c r="K377" i="8"/>
  <c r="K376" i="8"/>
  <c r="K375" i="8"/>
  <c r="K374" i="8"/>
  <c r="K373" i="8"/>
  <c r="K372" i="8"/>
  <c r="K371" i="8"/>
  <c r="K370" i="8"/>
  <c r="K369" i="8"/>
  <c r="K368" i="8"/>
  <c r="K367" i="8"/>
  <c r="K366" i="8"/>
  <c r="K365" i="8"/>
  <c r="K364" i="8"/>
  <c r="K363" i="8"/>
  <c r="K362" i="8"/>
  <c r="K361" i="8"/>
  <c r="K360" i="8"/>
  <c r="K359" i="8"/>
  <c r="K358" i="8"/>
  <c r="K357" i="8"/>
  <c r="K356" i="8"/>
  <c r="K355" i="8"/>
  <c r="K354" i="8"/>
  <c r="K353" i="8"/>
  <c r="K352" i="8"/>
  <c r="K351" i="8"/>
  <c r="K350" i="8"/>
  <c r="K349" i="8"/>
  <c r="K348" i="8"/>
  <c r="K347" i="8"/>
  <c r="K346" i="8"/>
  <c r="K345" i="8"/>
  <c r="K344" i="8"/>
  <c r="K343" i="8"/>
  <c r="K342" i="8"/>
  <c r="K341" i="8"/>
  <c r="K340" i="8"/>
  <c r="K339" i="8"/>
  <c r="K338" i="8"/>
  <c r="K337" i="8"/>
  <c r="K336" i="8"/>
  <c r="K335" i="8"/>
  <c r="K334" i="8"/>
  <c r="K333" i="8"/>
  <c r="K332" i="8"/>
  <c r="K331" i="8"/>
  <c r="K330" i="8"/>
  <c r="K329" i="8"/>
  <c r="K328" i="8"/>
  <c r="K327" i="8"/>
  <c r="K326" i="8"/>
  <c r="K325" i="8"/>
  <c r="K324" i="8"/>
  <c r="K323" i="8"/>
  <c r="K322" i="8"/>
  <c r="K321" i="8"/>
  <c r="K320" i="8"/>
  <c r="K319" i="8"/>
  <c r="K318" i="8"/>
  <c r="K317" i="8"/>
  <c r="K316" i="8"/>
  <c r="K315" i="8"/>
  <c r="K314" i="8"/>
  <c r="K313" i="8"/>
  <c r="K312" i="8"/>
  <c r="K311" i="8"/>
  <c r="K310" i="8"/>
  <c r="K309" i="8"/>
  <c r="K308" i="8"/>
  <c r="K307" i="8"/>
  <c r="K306" i="8"/>
  <c r="K305" i="8"/>
  <c r="K304" i="8"/>
  <c r="K303" i="8"/>
  <c r="K302" i="8"/>
  <c r="K301" i="8"/>
  <c r="K300" i="8"/>
  <c r="K299" i="8"/>
  <c r="K298" i="8"/>
  <c r="K297" i="8"/>
  <c r="K296" i="8"/>
  <c r="K295" i="8"/>
  <c r="K294" i="8"/>
  <c r="K293" i="8"/>
  <c r="K292" i="8"/>
  <c r="K291" i="8"/>
  <c r="K290" i="8"/>
  <c r="K289" i="8"/>
  <c r="K288" i="8"/>
  <c r="K287" i="8"/>
  <c r="K286" i="8"/>
  <c r="K285" i="8"/>
  <c r="K284" i="8"/>
  <c r="K283" i="8"/>
  <c r="K282" i="8"/>
  <c r="K281" i="8"/>
  <c r="K280" i="8"/>
  <c r="K279" i="8"/>
  <c r="K278" i="8"/>
  <c r="K277" i="8"/>
  <c r="K276" i="8"/>
  <c r="K275" i="8"/>
  <c r="K274" i="8"/>
  <c r="K273" i="8"/>
  <c r="K272" i="8"/>
  <c r="K271" i="8"/>
  <c r="K270" i="8"/>
  <c r="K269" i="8"/>
  <c r="K268" i="8"/>
  <c r="K267" i="8"/>
  <c r="K266" i="8"/>
  <c r="K265" i="8"/>
  <c r="K264" i="8"/>
  <c r="K263" i="8"/>
  <c r="K262" i="8"/>
  <c r="K261" i="8"/>
  <c r="K260" i="8"/>
  <c r="K259" i="8"/>
  <c r="K258" i="8"/>
  <c r="K257" i="8"/>
  <c r="K256" i="8"/>
  <c r="K255" i="8"/>
  <c r="K254" i="8"/>
  <c r="K253" i="8"/>
  <c r="K252" i="8"/>
  <c r="K251" i="8"/>
  <c r="K250" i="8"/>
  <c r="K249" i="8"/>
  <c r="K248" i="8"/>
  <c r="K247" i="8"/>
  <c r="K246" i="8"/>
  <c r="K245" i="8"/>
  <c r="K244" i="8"/>
  <c r="K243" i="8"/>
  <c r="K242" i="8"/>
  <c r="K241" i="8"/>
  <c r="K240" i="8"/>
  <c r="K239" i="8"/>
  <c r="K238" i="8"/>
  <c r="K237" i="8"/>
  <c r="K236" i="8"/>
  <c r="K235" i="8"/>
  <c r="K234" i="8"/>
  <c r="K233" i="8"/>
  <c r="K232" i="8"/>
  <c r="K231" i="8"/>
  <c r="K230" i="8"/>
  <c r="K229" i="8"/>
  <c r="K228" i="8"/>
  <c r="K227" i="8"/>
  <c r="K226" i="8"/>
  <c r="K225" i="8"/>
  <c r="K224" i="8"/>
  <c r="K223" i="8"/>
  <c r="K222" i="8"/>
  <c r="K221" i="8"/>
  <c r="K220" i="8"/>
  <c r="K219" i="8"/>
  <c r="K218" i="8"/>
  <c r="K217" i="8"/>
  <c r="K216" i="8"/>
  <c r="K215" i="8"/>
  <c r="K214" i="8"/>
  <c r="K213" i="8"/>
  <c r="K212" i="8"/>
  <c r="K211" i="8"/>
  <c r="K210" i="8"/>
  <c r="K209" i="8"/>
  <c r="K208" i="8"/>
  <c r="K207" i="8"/>
  <c r="K206" i="8"/>
  <c r="K205" i="8"/>
  <c r="K204" i="8"/>
  <c r="K203" i="8"/>
  <c r="K202" i="8"/>
  <c r="K201" i="8"/>
  <c r="K200" i="8"/>
  <c r="K199" i="8"/>
  <c r="K198" i="8"/>
  <c r="K197" i="8"/>
  <c r="K196" i="8"/>
  <c r="K195" i="8"/>
  <c r="K194" i="8"/>
  <c r="K193" i="8"/>
  <c r="K192" i="8"/>
  <c r="K191" i="8"/>
  <c r="K190" i="8"/>
  <c r="K189" i="8"/>
  <c r="K188" i="8"/>
  <c r="K187" i="8"/>
  <c r="K186" i="8"/>
  <c r="K185" i="8"/>
  <c r="K184" i="8"/>
  <c r="K183" i="8"/>
  <c r="K182" i="8"/>
  <c r="K181" i="8"/>
  <c r="K180" i="8"/>
  <c r="K179" i="8"/>
  <c r="K178" i="8"/>
  <c r="K177" i="8"/>
  <c r="K176" i="8"/>
  <c r="K175" i="8"/>
  <c r="K174" i="8"/>
  <c r="K173" i="8"/>
  <c r="K172" i="8"/>
  <c r="K171" i="8"/>
  <c r="K170" i="8"/>
  <c r="K169" i="8"/>
  <c r="K168" i="8"/>
  <c r="K167" i="8"/>
  <c r="K166" i="8"/>
  <c r="K165" i="8"/>
  <c r="K164" i="8"/>
  <c r="K163" i="8"/>
  <c r="K162" i="8"/>
  <c r="K161" i="8"/>
  <c r="K160" i="8"/>
  <c r="K159" i="8"/>
  <c r="K158" i="8"/>
  <c r="K157" i="8"/>
  <c r="K156" i="8"/>
  <c r="K155" i="8"/>
  <c r="K154" i="8"/>
  <c r="K153" i="8"/>
  <c r="K152" i="8"/>
  <c r="K151" i="8"/>
  <c r="K150" i="8"/>
  <c r="K149" i="8"/>
  <c r="K148" i="8"/>
  <c r="K147" i="8"/>
  <c r="K146" i="8"/>
  <c r="K145" i="8"/>
  <c r="K144" i="8"/>
  <c r="K143" i="8"/>
  <c r="K142" i="8"/>
  <c r="K140" i="8"/>
  <c r="K139" i="8"/>
  <c r="K138" i="8"/>
  <c r="K137" i="8"/>
  <c r="K136" i="8"/>
  <c r="K135" i="8"/>
  <c r="K134" i="8"/>
  <c r="K133" i="8"/>
  <c r="K132" i="8"/>
  <c r="K131" i="8"/>
  <c r="K130" i="8"/>
  <c r="K129" i="8"/>
  <c r="K128" i="8"/>
  <c r="K127" i="8"/>
  <c r="K126" i="8"/>
  <c r="K125" i="8"/>
  <c r="K124" i="8"/>
  <c r="K123" i="8"/>
  <c r="K122" i="8"/>
  <c r="K121" i="8"/>
  <c r="K120" i="8"/>
  <c r="K119" i="8"/>
  <c r="K118" i="8"/>
  <c r="K117" i="8"/>
  <c r="K116" i="8"/>
  <c r="K115" i="8"/>
  <c r="K114" i="8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2" i="8"/>
  <c r="K659" i="11"/>
  <c r="K578" i="1"/>
  <c r="K722" i="7"/>
  <c r="K716" i="7"/>
  <c r="K715" i="7"/>
  <c r="K714" i="7"/>
  <c r="K713" i="7"/>
  <c r="K712" i="7"/>
  <c r="K711" i="7"/>
  <c r="K710" i="7"/>
  <c r="K709" i="7"/>
  <c r="K708" i="7"/>
  <c r="K707" i="7"/>
  <c r="K706" i="7"/>
  <c r="K705" i="7"/>
  <c r="K704" i="7"/>
  <c r="K703" i="7"/>
  <c r="K702" i="7"/>
  <c r="K701" i="7"/>
  <c r="K700" i="7"/>
  <c r="K699" i="7"/>
  <c r="K698" i="7"/>
  <c r="K697" i="7"/>
  <c r="K696" i="7"/>
  <c r="K695" i="7"/>
  <c r="K694" i="7"/>
  <c r="K693" i="7"/>
  <c r="K692" i="7"/>
  <c r="K691" i="7"/>
  <c r="K690" i="7"/>
  <c r="K689" i="7"/>
  <c r="K688" i="7"/>
  <c r="K687" i="7"/>
  <c r="K686" i="7"/>
  <c r="K685" i="7"/>
  <c r="K684" i="7"/>
  <c r="K683" i="7"/>
  <c r="K682" i="7"/>
  <c r="K681" i="7"/>
  <c r="K680" i="7"/>
  <c r="K679" i="7"/>
  <c r="K678" i="7"/>
  <c r="K667" i="7"/>
  <c r="K664" i="7"/>
  <c r="K663" i="7"/>
  <c r="K662" i="7"/>
  <c r="K661" i="7"/>
  <c r="K660" i="7"/>
  <c r="K659" i="7"/>
  <c r="K658" i="7"/>
  <c r="K657" i="7"/>
  <c r="K656" i="7"/>
  <c r="K655" i="7"/>
  <c r="K654" i="7"/>
  <c r="K653" i="7"/>
  <c r="K652" i="7"/>
  <c r="K651" i="7"/>
  <c r="K650" i="7"/>
  <c r="K649" i="7"/>
  <c r="K648" i="7"/>
  <c r="K647" i="7"/>
  <c r="K646" i="7"/>
  <c r="K645" i="7"/>
  <c r="K644" i="7"/>
  <c r="K643" i="7"/>
  <c r="K642" i="7"/>
  <c r="K641" i="7"/>
  <c r="K640" i="7"/>
  <c r="K638" i="7"/>
  <c r="K637" i="7"/>
  <c r="K636" i="7"/>
  <c r="K635" i="7"/>
  <c r="K634" i="7"/>
  <c r="K633" i="7"/>
  <c r="K632" i="7"/>
  <c r="K631" i="7"/>
  <c r="K630" i="7"/>
  <c r="K629" i="7"/>
  <c r="K628" i="7"/>
  <c r="K627" i="7"/>
  <c r="K626" i="7"/>
  <c r="K625" i="7"/>
  <c r="K624" i="7"/>
  <c r="K623" i="7"/>
  <c r="K622" i="7"/>
  <c r="K621" i="7"/>
  <c r="K620" i="7"/>
  <c r="K619" i="7"/>
  <c r="K618" i="7"/>
  <c r="K617" i="7"/>
  <c r="K616" i="7"/>
  <c r="K615" i="7"/>
  <c r="K614" i="7"/>
  <c r="K613" i="7"/>
  <c r="K612" i="7"/>
  <c r="K611" i="7"/>
  <c r="K610" i="7"/>
  <c r="K609" i="7"/>
  <c r="K608" i="7"/>
  <c r="K606" i="7"/>
  <c r="K605" i="7"/>
  <c r="K604" i="7"/>
  <c r="K603" i="7"/>
  <c r="K602" i="7"/>
  <c r="K601" i="7"/>
  <c r="K600" i="7"/>
  <c r="K599" i="7"/>
  <c r="K598" i="7"/>
  <c r="K597" i="7"/>
  <c r="K596" i="7"/>
  <c r="K595" i="7"/>
  <c r="K594" i="7"/>
  <c r="K593" i="7"/>
  <c r="K592" i="7"/>
  <c r="K591" i="7"/>
  <c r="K590" i="7"/>
  <c r="K589" i="7"/>
  <c r="K588" i="7"/>
  <c r="K587" i="7"/>
  <c r="K586" i="7"/>
  <c r="K585" i="7"/>
  <c r="K584" i="7"/>
  <c r="K583" i="7"/>
  <c r="K582" i="7"/>
  <c r="K581" i="7"/>
  <c r="K580" i="7"/>
  <c r="K579" i="7"/>
  <c r="K578" i="7"/>
  <c r="K577" i="7"/>
  <c r="K576" i="7"/>
  <c r="K575" i="7"/>
  <c r="K574" i="7"/>
  <c r="K573" i="7"/>
  <c r="K572" i="7"/>
  <c r="K571" i="7"/>
  <c r="K570" i="7"/>
  <c r="K569" i="7"/>
  <c r="K568" i="7"/>
  <c r="K567" i="7"/>
  <c r="K566" i="7"/>
  <c r="K565" i="7"/>
  <c r="K564" i="7"/>
  <c r="K563" i="7"/>
  <c r="K562" i="7"/>
  <c r="K561" i="7"/>
  <c r="K560" i="7"/>
  <c r="K559" i="7"/>
  <c r="K558" i="7"/>
  <c r="K557" i="7"/>
  <c r="K556" i="7"/>
  <c r="K555" i="7"/>
  <c r="K554" i="7"/>
  <c r="K553" i="7"/>
  <c r="K552" i="7"/>
  <c r="K551" i="7"/>
  <c r="K550" i="7"/>
  <c r="K549" i="7"/>
  <c r="K548" i="7"/>
  <c r="K547" i="7"/>
  <c r="K546" i="7"/>
  <c r="K545" i="7"/>
  <c r="K544" i="7"/>
  <c r="K543" i="7"/>
  <c r="K542" i="7"/>
  <c r="K541" i="7"/>
  <c r="K540" i="7"/>
  <c r="K538" i="7"/>
  <c r="K537" i="7"/>
  <c r="K536" i="7"/>
  <c r="K535" i="7"/>
  <c r="K534" i="7"/>
  <c r="K533" i="7"/>
  <c r="K532" i="7"/>
  <c r="K531" i="7"/>
  <c r="K530" i="7"/>
  <c r="K529" i="7"/>
  <c r="K528" i="7"/>
  <c r="K527" i="7"/>
  <c r="K526" i="7"/>
  <c r="K525" i="7"/>
  <c r="K524" i="7"/>
  <c r="K523" i="7"/>
  <c r="K522" i="7"/>
  <c r="K521" i="7"/>
  <c r="K520" i="7"/>
  <c r="K519" i="7"/>
  <c r="K518" i="7"/>
  <c r="K517" i="7"/>
  <c r="K516" i="7"/>
  <c r="K515" i="7"/>
  <c r="K514" i="7"/>
  <c r="K513" i="7"/>
  <c r="K512" i="7"/>
  <c r="K511" i="7"/>
  <c r="K510" i="7"/>
  <c r="K509" i="7"/>
  <c r="K508" i="7"/>
  <c r="K507" i="7"/>
  <c r="K506" i="7"/>
  <c r="K505" i="7"/>
  <c r="K504" i="7"/>
  <c r="K503" i="7"/>
  <c r="K502" i="7"/>
  <c r="K501" i="7"/>
  <c r="K500" i="7"/>
  <c r="K499" i="7"/>
  <c r="K498" i="7"/>
  <c r="K497" i="7"/>
  <c r="K496" i="7"/>
  <c r="K495" i="7"/>
  <c r="K494" i="7"/>
  <c r="K493" i="7"/>
  <c r="K492" i="7"/>
  <c r="K491" i="7"/>
  <c r="K490" i="7"/>
  <c r="K489" i="7"/>
  <c r="K488" i="7"/>
  <c r="K487" i="7"/>
  <c r="K486" i="7"/>
  <c r="K485" i="7"/>
  <c r="K484" i="7"/>
  <c r="K482" i="7"/>
  <c r="K481" i="7"/>
  <c r="K480" i="7"/>
  <c r="K479" i="7"/>
  <c r="K478" i="7"/>
  <c r="K477" i="7"/>
  <c r="K476" i="7"/>
  <c r="K475" i="7"/>
  <c r="K474" i="7"/>
  <c r="K473" i="7"/>
  <c r="K472" i="7"/>
  <c r="K471" i="7"/>
  <c r="K470" i="7"/>
  <c r="K469" i="7"/>
  <c r="K468" i="7"/>
  <c r="K467" i="7"/>
  <c r="K466" i="7"/>
  <c r="K465" i="7"/>
  <c r="K464" i="7"/>
  <c r="K463" i="7"/>
  <c r="K462" i="7"/>
  <c r="K461" i="7"/>
  <c r="K460" i="7"/>
  <c r="K459" i="7"/>
  <c r="K458" i="7"/>
  <c r="K457" i="7"/>
  <c r="K456" i="7"/>
  <c r="K455" i="7"/>
  <c r="K454" i="7"/>
  <c r="K453" i="7"/>
  <c r="K452" i="7"/>
  <c r="K451" i="7"/>
  <c r="K450" i="7"/>
  <c r="K449" i="7"/>
  <c r="K448" i="7"/>
  <c r="K447" i="7"/>
  <c r="K446" i="7"/>
  <c r="K445" i="7"/>
  <c r="K444" i="7"/>
  <c r="K443" i="7"/>
  <c r="K442" i="7"/>
  <c r="K441" i="7"/>
  <c r="K440" i="7"/>
  <c r="K439" i="7"/>
  <c r="K438" i="7"/>
  <c r="K437" i="7"/>
  <c r="K436" i="7"/>
  <c r="K435" i="7"/>
  <c r="K434" i="7"/>
  <c r="K433" i="7"/>
  <c r="K432" i="7"/>
  <c r="K431" i="7"/>
  <c r="K430" i="7"/>
  <c r="K429" i="7"/>
  <c r="K428" i="7"/>
  <c r="K427" i="7"/>
  <c r="K426" i="7"/>
  <c r="K425" i="7"/>
  <c r="K424" i="7"/>
  <c r="K423" i="7"/>
  <c r="K422" i="7"/>
  <c r="K421" i="7"/>
  <c r="K420" i="7"/>
  <c r="K419" i="7"/>
  <c r="K418" i="7"/>
  <c r="K417" i="7"/>
  <c r="K416" i="7"/>
  <c r="K415" i="7"/>
  <c r="K414" i="7"/>
  <c r="K413" i="7"/>
  <c r="K412" i="7"/>
  <c r="K411" i="7"/>
  <c r="K410" i="7"/>
  <c r="K409" i="7"/>
  <c r="K408" i="7"/>
  <c r="K407" i="7"/>
  <c r="K406" i="7"/>
  <c r="K405" i="7"/>
  <c r="K404" i="7"/>
  <c r="K403" i="7"/>
  <c r="K402" i="7"/>
  <c r="K401" i="7"/>
  <c r="K400" i="7"/>
  <c r="K399" i="7"/>
  <c r="K398" i="7"/>
  <c r="K397" i="7"/>
  <c r="K396" i="7"/>
  <c r="K395" i="7"/>
  <c r="K394" i="7"/>
  <c r="K393" i="7"/>
  <c r="K392" i="7"/>
  <c r="K391" i="7"/>
  <c r="K390" i="7"/>
  <c r="K389" i="7"/>
  <c r="K388" i="7"/>
  <c r="K387" i="7"/>
  <c r="K386" i="7"/>
  <c r="K385" i="7"/>
  <c r="K384" i="7"/>
  <c r="K383" i="7"/>
  <c r="K382" i="7"/>
  <c r="K381" i="7"/>
  <c r="K380" i="7"/>
  <c r="K379" i="7"/>
  <c r="K378" i="7"/>
  <c r="K377" i="7"/>
  <c r="K376" i="7"/>
  <c r="K375" i="7"/>
  <c r="K374" i="7"/>
  <c r="K373" i="7"/>
  <c r="K372" i="7"/>
  <c r="K371" i="7"/>
  <c r="K370" i="7"/>
  <c r="K369" i="7"/>
  <c r="K368" i="7"/>
  <c r="K367" i="7"/>
  <c r="K366" i="7"/>
  <c r="K365" i="7"/>
  <c r="K364" i="7"/>
  <c r="K363" i="7"/>
  <c r="K362" i="7"/>
  <c r="K361" i="7"/>
  <c r="K360" i="7"/>
  <c r="K359" i="7"/>
  <c r="K358" i="7"/>
  <c r="K357" i="7"/>
  <c r="K356" i="7"/>
  <c r="K355" i="7"/>
  <c r="K354" i="7"/>
  <c r="K353" i="7"/>
  <c r="K352" i="7"/>
  <c r="K351" i="7"/>
  <c r="K350" i="7"/>
  <c r="K349" i="7"/>
  <c r="K348" i="7"/>
  <c r="K347" i="7"/>
  <c r="K346" i="7"/>
  <c r="K345" i="7"/>
  <c r="K344" i="7"/>
  <c r="K343" i="7"/>
  <c r="K342" i="7"/>
  <c r="K341" i="7"/>
  <c r="K340" i="7"/>
  <c r="K339" i="7"/>
  <c r="K338" i="7"/>
  <c r="K337" i="7"/>
  <c r="K336" i="7"/>
  <c r="K335" i="7"/>
  <c r="K334" i="7"/>
  <c r="K333" i="7"/>
  <c r="K332" i="7"/>
  <c r="K331" i="7"/>
  <c r="K330" i="7"/>
  <c r="K329" i="7"/>
  <c r="K328" i="7"/>
  <c r="K327" i="7"/>
  <c r="K326" i="7"/>
  <c r="K325" i="7"/>
  <c r="K324" i="7"/>
  <c r="K323" i="7"/>
  <c r="K322" i="7"/>
  <c r="K321" i="7"/>
  <c r="K320" i="7"/>
  <c r="K319" i="7"/>
  <c r="K318" i="7"/>
  <c r="K317" i="7"/>
  <c r="K316" i="7"/>
  <c r="K315" i="7"/>
  <c r="K314" i="7"/>
  <c r="K313" i="7"/>
  <c r="K312" i="7"/>
  <c r="K311" i="7"/>
  <c r="K310" i="7"/>
  <c r="K309" i="7"/>
  <c r="K308" i="7"/>
  <c r="K307" i="7"/>
  <c r="K306" i="7"/>
  <c r="K305" i="7"/>
  <c r="K304" i="7"/>
  <c r="K303" i="7"/>
  <c r="K302" i="7"/>
  <c r="K301" i="7"/>
  <c r="K300" i="7"/>
  <c r="K299" i="7"/>
  <c r="K298" i="7"/>
  <c r="K297" i="7"/>
  <c r="K296" i="7"/>
  <c r="K295" i="7"/>
  <c r="K294" i="7"/>
  <c r="K293" i="7"/>
  <c r="K292" i="7"/>
  <c r="K291" i="7"/>
  <c r="K290" i="7"/>
  <c r="K289" i="7"/>
  <c r="K288" i="7"/>
  <c r="K287" i="7"/>
  <c r="K286" i="7"/>
  <c r="K285" i="7"/>
  <c r="K284" i="7"/>
  <c r="K283" i="7"/>
  <c r="K282" i="7"/>
  <c r="K281" i="7"/>
  <c r="K280" i="7"/>
  <c r="K279" i="7"/>
  <c r="K278" i="7"/>
  <c r="K277" i="7"/>
  <c r="K276" i="7"/>
  <c r="K275" i="7"/>
  <c r="K274" i="7"/>
  <c r="K273" i="7"/>
  <c r="K272" i="7"/>
  <c r="K271" i="7"/>
  <c r="K270" i="7"/>
  <c r="K269" i="7"/>
  <c r="K268" i="7"/>
  <c r="K267" i="7"/>
  <c r="K266" i="7"/>
  <c r="K265" i="7"/>
  <c r="K264" i="7"/>
  <c r="K263" i="7"/>
  <c r="K262" i="7"/>
  <c r="K261" i="7"/>
  <c r="K260" i="7"/>
  <c r="K259" i="7"/>
  <c r="K258" i="7"/>
  <c r="K257" i="7"/>
  <c r="K256" i="7"/>
  <c r="K255" i="7"/>
  <c r="K254" i="7"/>
  <c r="K253" i="7"/>
  <c r="K252" i="7"/>
  <c r="K251" i="7"/>
  <c r="K250" i="7"/>
  <c r="K249" i="7"/>
  <c r="K248" i="7"/>
  <c r="K247" i="7"/>
  <c r="K246" i="7"/>
  <c r="K245" i="7"/>
  <c r="K244" i="7"/>
  <c r="K243" i="7"/>
  <c r="K242" i="7"/>
  <c r="K241" i="7"/>
  <c r="K240" i="7"/>
  <c r="K239" i="7"/>
  <c r="K238" i="7"/>
  <c r="K237" i="7"/>
  <c r="K236" i="7"/>
  <c r="K235" i="7"/>
  <c r="K234" i="7"/>
  <c r="K233" i="7"/>
  <c r="K232" i="7"/>
  <c r="K231" i="7"/>
  <c r="K230" i="7"/>
  <c r="K229" i="7"/>
  <c r="K228" i="7"/>
  <c r="K227" i="7"/>
  <c r="K226" i="7"/>
  <c r="K225" i="7"/>
  <c r="K224" i="7"/>
  <c r="K223" i="7"/>
  <c r="K222" i="7"/>
  <c r="K221" i="7"/>
  <c r="K220" i="7"/>
  <c r="K219" i="7"/>
  <c r="K218" i="7"/>
  <c r="K217" i="7"/>
  <c r="K216" i="7"/>
  <c r="K215" i="7"/>
  <c r="K214" i="7"/>
  <c r="K213" i="7"/>
  <c r="K212" i="7"/>
  <c r="K211" i="7"/>
  <c r="K210" i="7"/>
  <c r="K209" i="7"/>
  <c r="K208" i="7"/>
  <c r="K207" i="7"/>
  <c r="K206" i="7"/>
  <c r="K205" i="7"/>
  <c r="K204" i="7"/>
  <c r="K203" i="7"/>
  <c r="K202" i="7"/>
  <c r="K201" i="7"/>
  <c r="K200" i="7"/>
  <c r="K199" i="7"/>
  <c r="K198" i="7"/>
  <c r="K197" i="7"/>
  <c r="K196" i="7"/>
  <c r="K195" i="7"/>
  <c r="K194" i="7"/>
  <c r="K193" i="7"/>
  <c r="K192" i="7"/>
  <c r="K191" i="7"/>
  <c r="K190" i="7"/>
  <c r="K189" i="7"/>
  <c r="K188" i="7"/>
  <c r="K187" i="7"/>
  <c r="K186" i="7"/>
  <c r="K185" i="7"/>
  <c r="K184" i="7"/>
  <c r="K183" i="7"/>
  <c r="K182" i="7"/>
  <c r="K181" i="7"/>
  <c r="K180" i="7"/>
  <c r="K179" i="7"/>
  <c r="K178" i="7"/>
  <c r="K177" i="7"/>
  <c r="K176" i="7"/>
  <c r="K175" i="7"/>
  <c r="K174" i="7"/>
  <c r="K173" i="7"/>
  <c r="K172" i="7"/>
  <c r="K171" i="7"/>
  <c r="K170" i="7"/>
  <c r="K169" i="7"/>
  <c r="K168" i="7"/>
  <c r="K167" i="7"/>
  <c r="K166" i="7"/>
  <c r="K165" i="7"/>
  <c r="K164" i="7"/>
  <c r="K163" i="7"/>
  <c r="K162" i="7"/>
  <c r="K161" i="7"/>
  <c r="K160" i="7"/>
  <c r="K159" i="7"/>
  <c r="K158" i="7"/>
  <c r="K156" i="7"/>
  <c r="K155" i="7"/>
  <c r="K154" i="7"/>
  <c r="K153" i="7"/>
  <c r="K152" i="7"/>
  <c r="K151" i="7"/>
  <c r="K150" i="7"/>
  <c r="K149" i="7"/>
  <c r="K148" i="7"/>
  <c r="K147" i="7"/>
  <c r="K146" i="7"/>
  <c r="K145" i="7"/>
  <c r="K144" i="7"/>
  <c r="K143" i="7"/>
  <c r="K142" i="7"/>
  <c r="K141" i="7"/>
  <c r="K140" i="7"/>
  <c r="K139" i="7"/>
  <c r="K138" i="7"/>
  <c r="K137" i="7"/>
  <c r="K136" i="7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2" i="7"/>
  <c r="K831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76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2" i="1"/>
  <c r="K64" i="11"/>
  <c r="K63" i="11"/>
  <c r="K62" i="11"/>
  <c r="K61" i="11"/>
  <c r="K60" i="11"/>
  <c r="K59" i="11"/>
  <c r="K58" i="11"/>
  <c r="K57" i="11"/>
  <c r="K56" i="11"/>
  <c r="K51" i="11"/>
  <c r="K46" i="11"/>
  <c r="K41" i="11"/>
  <c r="K36" i="11"/>
  <c r="K31" i="11"/>
  <c r="K21" i="11"/>
  <c r="K20" i="11"/>
  <c r="K19" i="11"/>
  <c r="K18" i="11"/>
  <c r="K15" i="11"/>
  <c r="K14" i="11"/>
  <c r="K13" i="11"/>
  <c r="K12" i="11"/>
  <c r="K11" i="11"/>
  <c r="K10" i="11"/>
  <c r="K9" i="11"/>
  <c r="K8" i="11"/>
  <c r="K17" i="11"/>
  <c r="K16" i="11"/>
  <c r="K7" i="11"/>
  <c r="K37" i="11"/>
  <c r="K727" i="11" l="1"/>
  <c r="K709" i="11"/>
  <c r="K701" i="11"/>
  <c r="K693" i="11"/>
  <c r="K685" i="11"/>
  <c r="K677" i="11"/>
  <c r="K669" i="11"/>
  <c r="K661" i="11"/>
  <c r="K653" i="11"/>
  <c r="K530" i="11"/>
  <c r="K417" i="11"/>
  <c r="K304" i="11"/>
  <c r="K882" i="11" l="1"/>
  <c r="K875" i="11"/>
  <c r="K874" i="11"/>
  <c r="K867" i="11"/>
  <c r="K866" i="11"/>
  <c r="K859" i="11"/>
  <c r="K857" i="11"/>
  <c r="K848" i="11"/>
  <c r="K841" i="11"/>
  <c r="K840" i="11"/>
  <c r="K833" i="11"/>
  <c r="K832" i="11"/>
  <c r="K825" i="11"/>
  <c r="K824" i="11"/>
  <c r="K817" i="11"/>
  <c r="K815" i="11"/>
  <c r="K806" i="11"/>
  <c r="K799" i="11"/>
  <c r="K798" i="11"/>
  <c r="K791" i="11"/>
  <c r="K790" i="11"/>
  <c r="K783" i="11"/>
  <c r="K782" i="11"/>
  <c r="K775" i="11"/>
  <c r="K774" i="11"/>
  <c r="K767" i="11"/>
  <c r="K766" i="11"/>
  <c r="K759" i="11"/>
  <c r="K758" i="11"/>
  <c r="K751" i="11"/>
  <c r="K750" i="11"/>
  <c r="K743" i="11"/>
  <c r="K742" i="11"/>
  <c r="K735" i="11"/>
  <c r="K734" i="11"/>
  <c r="K716" i="11"/>
  <c r="K725" i="11"/>
  <c r="K708" i="11"/>
  <c r="K700" i="11"/>
  <c r="K692" i="11"/>
  <c r="K684" i="11"/>
  <c r="K676" i="11"/>
  <c r="K668" i="11"/>
  <c r="K660" i="11"/>
  <c r="K651" i="11"/>
  <c r="K638" i="11"/>
  <c r="K639" i="11"/>
  <c r="K640" i="11"/>
  <c r="K641" i="11"/>
  <c r="K642" i="11"/>
  <c r="K637" i="11"/>
  <c r="K629" i="11"/>
  <c r="K630" i="11"/>
  <c r="K631" i="11"/>
  <c r="K632" i="11"/>
  <c r="K633" i="11"/>
  <c r="K634" i="11"/>
  <c r="K635" i="11"/>
  <c r="K636" i="11"/>
  <c r="K628" i="11"/>
  <c r="K627" i="11"/>
  <c r="K525" i="11"/>
  <c r="K526" i="11"/>
  <c r="K527" i="11"/>
  <c r="K528" i="11"/>
  <c r="K529" i="11"/>
  <c r="K524" i="11"/>
  <c r="K516" i="11"/>
  <c r="K517" i="11"/>
  <c r="K518" i="11"/>
  <c r="K519" i="11"/>
  <c r="K520" i="11"/>
  <c r="K521" i="11"/>
  <c r="K522" i="11"/>
  <c r="K523" i="11"/>
  <c r="K515" i="11"/>
  <c r="K514" i="11"/>
  <c r="K412" i="11"/>
  <c r="K413" i="11"/>
  <c r="K414" i="11"/>
  <c r="K415" i="11"/>
  <c r="K416" i="11"/>
  <c r="K411" i="11"/>
  <c r="K403" i="11"/>
  <c r="K404" i="11"/>
  <c r="K405" i="11"/>
  <c r="K406" i="11"/>
  <c r="K407" i="11"/>
  <c r="K408" i="11"/>
  <c r="K409" i="11"/>
  <c r="K410" i="11"/>
  <c r="K402" i="11"/>
  <c r="K401" i="11"/>
  <c r="K298" i="11"/>
  <c r="K299" i="11"/>
  <c r="K300" i="11"/>
  <c r="K301" i="11"/>
  <c r="K302" i="11"/>
  <c r="K297" i="11"/>
  <c r="K289" i="11"/>
  <c r="K290" i="11"/>
  <c r="K291" i="11"/>
  <c r="K292" i="11"/>
  <c r="K293" i="11"/>
  <c r="K294" i="11"/>
  <c r="K295" i="11"/>
  <c r="K296" i="11"/>
  <c r="K288" i="11"/>
  <c r="K287" i="11"/>
  <c r="K188" i="11"/>
  <c r="K187" i="11"/>
  <c r="K186" i="11"/>
  <c r="K185" i="11"/>
  <c r="K184" i="11"/>
  <c r="K178" i="11"/>
  <c r="K179" i="11"/>
  <c r="K180" i="11"/>
  <c r="K181" i="11"/>
  <c r="K182" i="11"/>
  <c r="K177" i="11"/>
  <c r="K161" i="11"/>
  <c r="K169" i="11"/>
  <c r="K170" i="11"/>
  <c r="K171" i="11"/>
  <c r="K172" i="11"/>
  <c r="K173" i="11"/>
  <c r="K174" i="11"/>
  <c r="K175" i="11"/>
  <c r="K176" i="11"/>
  <c r="K168" i="11"/>
  <c r="K167" i="11"/>
  <c r="K940" i="11"/>
  <c r="K934" i="11"/>
  <c r="K933" i="11"/>
  <c r="K932" i="11"/>
  <c r="K931" i="11"/>
  <c r="K930" i="11"/>
  <c r="K929" i="11"/>
  <c r="K928" i="11"/>
  <c r="K927" i="11"/>
  <c r="K926" i="11"/>
  <c r="K925" i="11"/>
  <c r="K924" i="11"/>
  <c r="K923" i="11"/>
  <c r="K922" i="11"/>
  <c r="K921" i="11"/>
  <c r="K920" i="11"/>
  <c r="K919" i="11"/>
  <c r="K918" i="11"/>
  <c r="K917" i="11"/>
  <c r="K916" i="11"/>
  <c r="K915" i="11"/>
  <c r="K914" i="11"/>
  <c r="K913" i="11"/>
  <c r="K912" i="11"/>
  <c r="K911" i="11"/>
  <c r="K910" i="11"/>
  <c r="K909" i="11"/>
  <c r="K908" i="11"/>
  <c r="K907" i="11"/>
  <c r="K906" i="11"/>
  <c r="K905" i="11"/>
  <c r="K904" i="11"/>
  <c r="K903" i="11"/>
  <c r="K902" i="11"/>
  <c r="K901" i="11"/>
  <c r="K900" i="11"/>
  <c r="K899" i="11"/>
  <c r="K898" i="11"/>
  <c r="K897" i="11"/>
  <c r="K896" i="11"/>
  <c r="K885" i="11"/>
  <c r="K881" i="11"/>
  <c r="K880" i="11"/>
  <c r="K879" i="11"/>
  <c r="K878" i="11"/>
  <c r="K877" i="11"/>
  <c r="K876" i="11"/>
  <c r="K873" i="11"/>
  <c r="K872" i="11"/>
  <c r="K871" i="11"/>
  <c r="K870" i="11"/>
  <c r="K869" i="11"/>
  <c r="K868" i="11"/>
  <c r="K865" i="11"/>
  <c r="K864" i="11"/>
  <c r="K863" i="11"/>
  <c r="K862" i="11"/>
  <c r="K861" i="11"/>
  <c r="K860" i="11"/>
  <c r="K858" i="11"/>
  <c r="K856" i="11"/>
  <c r="K855" i="11"/>
  <c r="K854" i="11"/>
  <c r="K853" i="11"/>
  <c r="K852" i="11"/>
  <c r="K851" i="11"/>
  <c r="K850" i="11"/>
  <c r="K847" i="11"/>
  <c r="K846" i="11"/>
  <c r="K845" i="11"/>
  <c r="K844" i="11"/>
  <c r="K843" i="11"/>
  <c r="K842" i="11"/>
  <c r="K839" i="11"/>
  <c r="K838" i="11"/>
  <c r="K837" i="11"/>
  <c r="K836" i="11"/>
  <c r="K835" i="11"/>
  <c r="K834" i="11"/>
  <c r="K831" i="11"/>
  <c r="K830" i="11"/>
  <c r="K829" i="11"/>
  <c r="K828" i="11"/>
  <c r="K827" i="11"/>
  <c r="K826" i="11"/>
  <c r="K823" i="11"/>
  <c r="K822" i="11"/>
  <c r="K821" i="11"/>
  <c r="K820" i="11"/>
  <c r="K819" i="11"/>
  <c r="K818" i="11"/>
  <c r="K816" i="11"/>
  <c r="K814" i="11"/>
  <c r="K813" i="11"/>
  <c r="K812" i="11"/>
  <c r="K811" i="11"/>
  <c r="K810" i="11"/>
  <c r="K809" i="11"/>
  <c r="K808" i="11"/>
  <c r="K805" i="11"/>
  <c r="K804" i="11"/>
  <c r="K803" i="11"/>
  <c r="K802" i="11"/>
  <c r="K801" i="11"/>
  <c r="K800" i="11"/>
  <c r="K797" i="11"/>
  <c r="K796" i="11"/>
  <c r="K795" i="11"/>
  <c r="K794" i="11"/>
  <c r="K793" i="11"/>
  <c r="K792" i="11"/>
  <c r="K789" i="11"/>
  <c r="K788" i="11"/>
  <c r="K787" i="11"/>
  <c r="K786" i="11"/>
  <c r="K785" i="11"/>
  <c r="K784" i="11"/>
  <c r="K781" i="11"/>
  <c r="K780" i="11"/>
  <c r="K779" i="11"/>
  <c r="K778" i="11"/>
  <c r="K777" i="11"/>
  <c r="K776" i="11"/>
  <c r="K773" i="11"/>
  <c r="K772" i="11"/>
  <c r="K771" i="11"/>
  <c r="K770" i="11"/>
  <c r="K769" i="11"/>
  <c r="K768" i="11"/>
  <c r="K765" i="11"/>
  <c r="K764" i="11"/>
  <c r="K763" i="11"/>
  <c r="K762" i="11"/>
  <c r="K761" i="11"/>
  <c r="K760" i="11"/>
  <c r="K757" i="11"/>
  <c r="K756" i="11"/>
  <c r="K755" i="11"/>
  <c r="K754" i="11"/>
  <c r="K753" i="11"/>
  <c r="K752" i="11"/>
  <c r="K749" i="11"/>
  <c r="K748" i="11"/>
  <c r="K747" i="11"/>
  <c r="K746" i="11"/>
  <c r="K745" i="11"/>
  <c r="K744" i="11"/>
  <c r="K741" i="11"/>
  <c r="K740" i="11"/>
  <c r="K739" i="11"/>
  <c r="K738" i="11"/>
  <c r="K737" i="11"/>
  <c r="K736" i="11"/>
  <c r="K733" i="11"/>
  <c r="K732" i="11"/>
  <c r="K731" i="11"/>
  <c r="K730" i="11"/>
  <c r="K729" i="11"/>
  <c r="K728" i="11"/>
  <c r="K726" i="11"/>
  <c r="K724" i="11"/>
  <c r="K723" i="11"/>
  <c r="K722" i="11"/>
  <c r="K721" i="11"/>
  <c r="K720" i="11"/>
  <c r="K719" i="11"/>
  <c r="K718" i="11"/>
  <c r="K715" i="11"/>
  <c r="K714" i="11"/>
  <c r="K713" i="11"/>
  <c r="K712" i="11"/>
  <c r="K711" i="11"/>
  <c r="K710" i="11"/>
  <c r="K707" i="11"/>
  <c r="K706" i="11"/>
  <c r="K705" i="11"/>
  <c r="K704" i="11"/>
  <c r="K703" i="11"/>
  <c r="K702" i="11"/>
  <c r="K699" i="11"/>
  <c r="K698" i="11"/>
  <c r="K697" i="11"/>
  <c r="K696" i="11"/>
  <c r="K695" i="11"/>
  <c r="K694" i="11"/>
  <c r="K691" i="11"/>
  <c r="K690" i="11"/>
  <c r="K689" i="11"/>
  <c r="K688" i="11"/>
  <c r="K687" i="11"/>
  <c r="K686" i="11"/>
  <c r="K683" i="11"/>
  <c r="K682" i="11"/>
  <c r="K681" i="11"/>
  <c r="K680" i="11"/>
  <c r="K679" i="11"/>
  <c r="K678" i="11"/>
  <c r="K675" i="11"/>
  <c r="K674" i="11"/>
  <c r="K673" i="11"/>
  <c r="K672" i="11"/>
  <c r="K671" i="11"/>
  <c r="K670" i="11"/>
  <c r="K667" i="11"/>
  <c r="K666" i="11"/>
  <c r="K665" i="11"/>
  <c r="K664" i="11"/>
  <c r="K663" i="11"/>
  <c r="K662" i="11"/>
  <c r="K658" i="11"/>
  <c r="K657" i="11"/>
  <c r="K656" i="11"/>
  <c r="K655" i="11"/>
  <c r="K654" i="11"/>
  <c r="K652" i="11"/>
  <c r="K650" i="11"/>
  <c r="K649" i="11"/>
  <c r="K648" i="11"/>
  <c r="K647" i="11"/>
  <c r="K646" i="11"/>
  <c r="K645" i="11"/>
  <c r="K644" i="11"/>
  <c r="K626" i="11"/>
  <c r="K625" i="11"/>
  <c r="K624" i="11"/>
  <c r="K623" i="11"/>
  <c r="K622" i="11"/>
  <c r="K621" i="11"/>
  <c r="K620" i="11"/>
  <c r="K619" i="11"/>
  <c r="K618" i="11"/>
  <c r="K617" i="11"/>
  <c r="K616" i="11"/>
  <c r="K615" i="11"/>
  <c r="K614" i="11"/>
  <c r="K613" i="11"/>
  <c r="K612" i="11"/>
  <c r="K611" i="11"/>
  <c r="K610" i="11"/>
  <c r="K609" i="11"/>
  <c r="K608" i="11"/>
  <c r="K607" i="11"/>
  <c r="K606" i="11"/>
  <c r="K605" i="11"/>
  <c r="K604" i="11"/>
  <c r="K603" i="11"/>
  <c r="K602" i="11"/>
  <c r="K601" i="11"/>
  <c r="K600" i="11"/>
  <c r="K599" i="11"/>
  <c r="K598" i="11"/>
  <c r="K597" i="11"/>
  <c r="K596" i="11"/>
  <c r="K595" i="11"/>
  <c r="K594" i="11"/>
  <c r="K593" i="11"/>
  <c r="K592" i="11"/>
  <c r="K591" i="11"/>
  <c r="K590" i="11"/>
  <c r="K589" i="11"/>
  <c r="K588" i="11"/>
  <c r="K587" i="11"/>
  <c r="K586" i="11"/>
  <c r="K585" i="11"/>
  <c r="K584" i="11"/>
  <c r="K583" i="11"/>
  <c r="K582" i="11"/>
  <c r="K581" i="11"/>
  <c r="K580" i="11"/>
  <c r="K579" i="11"/>
  <c r="K578" i="11"/>
  <c r="K577" i="11"/>
  <c r="K576" i="11"/>
  <c r="K575" i="11"/>
  <c r="K574" i="11"/>
  <c r="K573" i="11"/>
  <c r="K572" i="11"/>
  <c r="K571" i="11"/>
  <c r="K570" i="11"/>
  <c r="K569" i="11"/>
  <c r="K568" i="11"/>
  <c r="K567" i="11"/>
  <c r="K566" i="11"/>
  <c r="K565" i="11"/>
  <c r="K564" i="11"/>
  <c r="K563" i="11"/>
  <c r="K562" i="11"/>
  <c r="K561" i="11"/>
  <c r="K560" i="11"/>
  <c r="K559" i="11"/>
  <c r="K558" i="11"/>
  <c r="K557" i="11"/>
  <c r="K556" i="11"/>
  <c r="K555" i="11"/>
  <c r="K554" i="11"/>
  <c r="K553" i="11"/>
  <c r="K552" i="11"/>
  <c r="K551" i="11"/>
  <c r="K550" i="11"/>
  <c r="K549" i="11"/>
  <c r="K548" i="11"/>
  <c r="K547" i="11"/>
  <c r="K546" i="11"/>
  <c r="K545" i="11"/>
  <c r="K544" i="11"/>
  <c r="K543" i="11"/>
  <c r="K542" i="11"/>
  <c r="K541" i="11"/>
  <c r="K540" i="11"/>
  <c r="K539" i="11"/>
  <c r="K538" i="11"/>
  <c r="K537" i="11"/>
  <c r="K536" i="11"/>
  <c r="K535" i="11"/>
  <c r="K534" i="11"/>
  <c r="K533" i="11"/>
  <c r="K532" i="11"/>
  <c r="K531" i="11"/>
  <c r="K513" i="11"/>
  <c r="K512" i="11"/>
  <c r="K511" i="11"/>
  <c r="K510" i="11"/>
  <c r="K509" i="11"/>
  <c r="K508" i="11"/>
  <c r="K507" i="11"/>
  <c r="K506" i="11"/>
  <c r="K505" i="11"/>
  <c r="K504" i="11"/>
  <c r="K503" i="11"/>
  <c r="K502" i="11"/>
  <c r="K501" i="11"/>
  <c r="K500" i="11"/>
  <c r="K499" i="11"/>
  <c r="K498" i="11"/>
  <c r="K497" i="11"/>
  <c r="K496" i="11"/>
  <c r="K495" i="11"/>
  <c r="K494" i="11"/>
  <c r="K493" i="11"/>
  <c r="K492" i="11"/>
  <c r="K491" i="11"/>
  <c r="K490" i="11"/>
  <c r="K489" i="11"/>
  <c r="K488" i="11"/>
  <c r="K487" i="11"/>
  <c r="K486" i="11"/>
  <c r="K485" i="11"/>
  <c r="K484" i="11"/>
  <c r="K483" i="11"/>
  <c r="K482" i="11"/>
  <c r="K481" i="11"/>
  <c r="K480" i="11"/>
  <c r="K479" i="11"/>
  <c r="K478" i="11"/>
  <c r="K477" i="11"/>
  <c r="K476" i="11"/>
  <c r="K475" i="11"/>
  <c r="K474" i="11"/>
  <c r="K473" i="11"/>
  <c r="K472" i="11"/>
  <c r="K471" i="11"/>
  <c r="K470" i="11"/>
  <c r="K469" i="11"/>
  <c r="K468" i="11"/>
  <c r="K467" i="11"/>
  <c r="K466" i="11"/>
  <c r="K465" i="11"/>
  <c r="K464" i="11"/>
  <c r="K463" i="11"/>
  <c r="K462" i="11"/>
  <c r="K461" i="11"/>
  <c r="K460" i="11"/>
  <c r="K459" i="11"/>
  <c r="K458" i="11"/>
  <c r="K457" i="11"/>
  <c r="K456" i="11"/>
  <c r="K455" i="11"/>
  <c r="K454" i="11"/>
  <c r="K453" i="11"/>
  <c r="K452" i="11"/>
  <c r="K451" i="11"/>
  <c r="K450" i="11"/>
  <c r="K449" i="11"/>
  <c r="K448" i="11"/>
  <c r="K447" i="11"/>
  <c r="K446" i="11"/>
  <c r="K445" i="11"/>
  <c r="K444" i="11"/>
  <c r="K443" i="11"/>
  <c r="K442" i="11"/>
  <c r="K441" i="11"/>
  <c r="K440" i="11"/>
  <c r="K439" i="11"/>
  <c r="K438" i="11"/>
  <c r="K437" i="11"/>
  <c r="K436" i="11"/>
  <c r="K435" i="11"/>
  <c r="K434" i="11"/>
  <c r="K433" i="11"/>
  <c r="K432" i="11"/>
  <c r="K431" i="11"/>
  <c r="K430" i="11"/>
  <c r="K429" i="11"/>
  <c r="K428" i="11"/>
  <c r="K427" i="11"/>
  <c r="K426" i="11"/>
  <c r="K425" i="11"/>
  <c r="K424" i="11"/>
  <c r="K423" i="11"/>
  <c r="K422" i="11"/>
  <c r="K421" i="11"/>
  <c r="K420" i="11"/>
  <c r="K419" i="11"/>
  <c r="K418" i="11"/>
  <c r="K400" i="11"/>
  <c r="K399" i="11"/>
  <c r="K398" i="11"/>
  <c r="K397" i="11"/>
  <c r="K396" i="11"/>
  <c r="K395" i="11"/>
  <c r="K394" i="11"/>
  <c r="K393" i="11"/>
  <c r="K392" i="11"/>
  <c r="K391" i="11"/>
  <c r="K390" i="11"/>
  <c r="K389" i="11"/>
  <c r="K388" i="11"/>
  <c r="K387" i="11"/>
  <c r="K386" i="11"/>
  <c r="K385" i="11"/>
  <c r="K384" i="11"/>
  <c r="K383" i="11"/>
  <c r="K382" i="11"/>
  <c r="K381" i="11"/>
  <c r="K380" i="11"/>
  <c r="K379" i="11"/>
  <c r="K378" i="11"/>
  <c r="K377" i="11"/>
  <c r="K376" i="11"/>
  <c r="K375" i="11"/>
  <c r="K374" i="11"/>
  <c r="K373" i="11"/>
  <c r="K372" i="11"/>
  <c r="K371" i="11"/>
  <c r="K370" i="11"/>
  <c r="K369" i="11"/>
  <c r="K368" i="11"/>
  <c r="K367" i="11"/>
  <c r="K366" i="11"/>
  <c r="K365" i="11"/>
  <c r="K364" i="11"/>
  <c r="K363" i="11"/>
  <c r="K362" i="11"/>
  <c r="K361" i="11"/>
  <c r="K360" i="11"/>
  <c r="K359" i="11"/>
  <c r="K358" i="11"/>
  <c r="K357" i="11"/>
  <c r="K356" i="11"/>
  <c r="K355" i="11"/>
  <c r="K354" i="11"/>
  <c r="K353" i="11"/>
  <c r="K352" i="11"/>
  <c r="K351" i="11"/>
  <c r="K350" i="11"/>
  <c r="K349" i="11"/>
  <c r="K348" i="11"/>
  <c r="K347" i="11"/>
  <c r="K346" i="11"/>
  <c r="K345" i="11"/>
  <c r="K344" i="11"/>
  <c r="K343" i="11"/>
  <c r="K342" i="11"/>
  <c r="K341" i="11"/>
  <c r="K340" i="11"/>
  <c r="K339" i="11"/>
  <c r="K338" i="11"/>
  <c r="K337" i="11"/>
  <c r="K336" i="11"/>
  <c r="K335" i="11"/>
  <c r="K334" i="11"/>
  <c r="K333" i="11"/>
  <c r="K332" i="11"/>
  <c r="K331" i="11"/>
  <c r="K330" i="11"/>
  <c r="K329" i="11"/>
  <c r="K328" i="11"/>
  <c r="K327" i="11"/>
  <c r="K326" i="11"/>
  <c r="K325" i="11"/>
  <c r="K324" i="11"/>
  <c r="K323" i="11"/>
  <c r="K322" i="11"/>
  <c r="K321" i="11"/>
  <c r="K320" i="11"/>
  <c r="K319" i="11"/>
  <c r="K318" i="11"/>
  <c r="K317" i="11"/>
  <c r="K316" i="11"/>
  <c r="K315" i="11"/>
  <c r="K314" i="11"/>
  <c r="K313" i="11"/>
  <c r="K312" i="11"/>
  <c r="K311" i="11"/>
  <c r="K310" i="11"/>
  <c r="K309" i="11"/>
  <c r="K308" i="11"/>
  <c r="K307" i="11"/>
  <c r="K306" i="11"/>
  <c r="K305" i="11"/>
  <c r="K303" i="11"/>
  <c r="K286" i="11"/>
  <c r="K285" i="11"/>
  <c r="K284" i="11"/>
  <c r="K283" i="11"/>
  <c r="K282" i="11"/>
  <c r="K281" i="11"/>
  <c r="K280" i="11"/>
  <c r="K279" i="11"/>
  <c r="K278" i="11"/>
  <c r="K277" i="11"/>
  <c r="K276" i="11"/>
  <c r="K275" i="11"/>
  <c r="K274" i="11"/>
  <c r="K273" i="11"/>
  <c r="K272" i="11"/>
  <c r="K271" i="11"/>
  <c r="K270" i="11"/>
  <c r="K269" i="11"/>
  <c r="K268" i="11"/>
  <c r="K267" i="11"/>
  <c r="K266" i="11"/>
  <c r="K265" i="11"/>
  <c r="K264" i="11"/>
  <c r="K263" i="11"/>
  <c r="K262" i="11"/>
  <c r="K261" i="11"/>
  <c r="K260" i="11"/>
  <c r="K259" i="11"/>
  <c r="K258" i="11"/>
  <c r="K257" i="11"/>
  <c r="K256" i="11"/>
  <c r="K255" i="11"/>
  <c r="K254" i="11"/>
  <c r="K253" i="11"/>
  <c r="K252" i="11"/>
  <c r="K251" i="11"/>
  <c r="K250" i="11"/>
  <c r="K249" i="11"/>
  <c r="K248" i="11"/>
  <c r="K247" i="11"/>
  <c r="K246" i="11"/>
  <c r="K245" i="11"/>
  <c r="K244" i="11"/>
  <c r="K243" i="11"/>
  <c r="K242" i="11"/>
  <c r="K241" i="11"/>
  <c r="K240" i="11"/>
  <c r="K239" i="11"/>
  <c r="K238" i="11"/>
  <c r="K237" i="11"/>
  <c r="K236" i="11"/>
  <c r="K235" i="11"/>
  <c r="K234" i="11"/>
  <c r="K233" i="11"/>
  <c r="K232" i="11"/>
  <c r="K231" i="11"/>
  <c r="K230" i="11"/>
  <c r="K229" i="11"/>
  <c r="K228" i="11"/>
  <c r="K227" i="11"/>
  <c r="K226" i="11"/>
  <c r="K225" i="11"/>
  <c r="K224" i="11"/>
  <c r="K223" i="11"/>
  <c r="K222" i="11"/>
  <c r="K221" i="11"/>
  <c r="K220" i="11"/>
  <c r="K219" i="11"/>
  <c r="K218" i="11"/>
  <c r="K217" i="11"/>
  <c r="K216" i="11"/>
  <c r="K215" i="11"/>
  <c r="K214" i="11"/>
  <c r="K213" i="11"/>
  <c r="K212" i="11"/>
  <c r="K211" i="11"/>
  <c r="K210" i="11"/>
  <c r="K209" i="11"/>
  <c r="K208" i="11"/>
  <c r="K207" i="11"/>
  <c r="K206" i="11"/>
  <c r="K205" i="11"/>
  <c r="K204" i="11"/>
  <c r="K203" i="11"/>
  <c r="K202" i="11"/>
  <c r="K201" i="11"/>
  <c r="K200" i="11"/>
  <c r="K199" i="11"/>
  <c r="K198" i="11"/>
  <c r="K197" i="11"/>
  <c r="K196" i="11"/>
  <c r="K195" i="11"/>
  <c r="K194" i="11"/>
  <c r="K193" i="11"/>
  <c r="K192" i="11"/>
  <c r="K191" i="11"/>
  <c r="K190" i="11"/>
  <c r="K183" i="11"/>
  <c r="K166" i="11"/>
  <c r="K165" i="11"/>
  <c r="K164" i="11"/>
  <c r="K163" i="11"/>
  <c r="K162" i="11"/>
  <c r="K160" i="11"/>
  <c r="K159" i="11"/>
  <c r="K158" i="11"/>
  <c r="K157" i="11"/>
  <c r="K156" i="11"/>
  <c r="K155" i="11"/>
  <c r="K154" i="11"/>
  <c r="K153" i="11"/>
  <c r="K152" i="11"/>
  <c r="K151" i="11"/>
  <c r="K150" i="11"/>
  <c r="K149" i="11"/>
  <c r="K148" i="11"/>
  <c r="K147" i="11"/>
  <c r="K146" i="11"/>
  <c r="K145" i="11"/>
  <c r="K144" i="11"/>
  <c r="K143" i="11"/>
  <c r="K142" i="11"/>
  <c r="K141" i="11"/>
  <c r="K140" i="11"/>
  <c r="K139" i="11"/>
  <c r="K138" i="11"/>
  <c r="K137" i="11"/>
  <c r="K136" i="11"/>
  <c r="K135" i="11"/>
  <c r="K134" i="11"/>
  <c r="K133" i="11"/>
  <c r="K132" i="11"/>
  <c r="K131" i="11"/>
  <c r="K130" i="11"/>
  <c r="K129" i="11"/>
  <c r="K128" i="11"/>
  <c r="K127" i="11"/>
  <c r="K126" i="11"/>
  <c r="K125" i="11"/>
  <c r="K124" i="11"/>
  <c r="K123" i="11"/>
  <c r="K122" i="11"/>
  <c r="K121" i="11"/>
  <c r="K120" i="11"/>
  <c r="K119" i="11"/>
  <c r="K118" i="11"/>
  <c r="K117" i="11"/>
  <c r="K116" i="11"/>
  <c r="K115" i="11"/>
  <c r="K114" i="11"/>
  <c r="K113" i="11"/>
  <c r="K112" i="11"/>
  <c r="K111" i="11"/>
  <c r="K110" i="11"/>
  <c r="K109" i="11"/>
  <c r="K108" i="11"/>
  <c r="K107" i="11"/>
  <c r="K106" i="11"/>
  <c r="K105" i="11"/>
  <c r="K104" i="11"/>
  <c r="K103" i="11"/>
  <c r="K102" i="11"/>
  <c r="K101" i="11"/>
  <c r="K100" i="11"/>
  <c r="K99" i="11"/>
  <c r="K98" i="11"/>
  <c r="K97" i="11"/>
  <c r="K96" i="11"/>
  <c r="K95" i="11"/>
  <c r="K94" i="11"/>
  <c r="K93" i="11"/>
  <c r="K92" i="11"/>
  <c r="K91" i="11"/>
  <c r="K90" i="11"/>
  <c r="K89" i="11"/>
  <c r="K88" i="11"/>
  <c r="K87" i="11"/>
  <c r="K86" i="11"/>
  <c r="K85" i="11"/>
  <c r="K84" i="11"/>
  <c r="K83" i="11"/>
  <c r="K82" i="11"/>
  <c r="K81" i="11"/>
  <c r="K80" i="11"/>
  <c r="K79" i="11"/>
  <c r="K78" i="11"/>
  <c r="K77" i="11"/>
  <c r="K76" i="11"/>
  <c r="K75" i="11"/>
  <c r="K74" i="11"/>
  <c r="K73" i="11"/>
  <c r="K72" i="11"/>
  <c r="K71" i="11"/>
  <c r="K70" i="11"/>
  <c r="K68" i="11"/>
  <c r="K67" i="11"/>
  <c r="K66" i="11"/>
  <c r="K65" i="11"/>
  <c r="K55" i="11"/>
  <c r="K54" i="11"/>
  <c r="K53" i="11"/>
  <c r="K52" i="11"/>
  <c r="K50" i="11"/>
  <c r="K49" i="11"/>
  <c r="K48" i="11"/>
  <c r="K47" i="11"/>
  <c r="K45" i="11"/>
  <c r="K44" i="11"/>
  <c r="K43" i="11"/>
  <c r="K42" i="11"/>
  <c r="K40" i="11"/>
  <c r="K39" i="11"/>
  <c r="K38" i="11"/>
  <c r="K35" i="11"/>
  <c r="K34" i="11"/>
  <c r="K33" i="11"/>
  <c r="K32" i="11"/>
  <c r="K30" i="11"/>
  <c r="K29" i="11"/>
  <c r="K28" i="11"/>
  <c r="K27" i="11"/>
  <c r="K26" i="11"/>
  <c r="K25" i="11"/>
  <c r="K24" i="11"/>
  <c r="K23" i="11"/>
  <c r="K2" i="11"/>
</calcChain>
</file>

<file path=xl/sharedStrings.xml><?xml version="1.0" encoding="utf-8"?>
<sst xmlns="http://schemas.openxmlformats.org/spreadsheetml/2006/main" count="4113" uniqueCount="2601">
  <si>
    <t>&lt;strong&gt;1. ABC Market Introduction&lt;/strong&gt;</t>
  </si>
  <si>
    <t>1.1. Study Assumption and Market Definition</t>
  </si>
  <si>
    <t>1.2. Scope of the Study</t>
  </si>
  <si>
    <t>1.3. Executive Summary</t>
  </si>
  <si>
    <t>&lt;em&gt;4.1.1. AA1&lt;/em&gt;</t>
  </si>
  <si>
    <t>&lt;em&gt;4.1.2. AA2&lt;/em&gt;</t>
  </si>
  <si>
    <t>&lt;em&gt;4.1.3. AA3&lt;/em&gt;</t>
  </si>
  <si>
    <t>&lt;em&gt;4.1.4. AA4&lt;/em&gt;</t>
  </si>
  <si>
    <t>&lt;em&gt;4.1.5. AA5&lt;/em&gt;</t>
  </si>
  <si>
    <t>&lt;em&gt;4.1.6. AA6&lt;/em&gt;</t>
  </si>
  <si>
    <t>&lt;em&gt;4.1.7. AA7&lt;/em&gt;</t>
  </si>
  <si>
    <t>&lt;em&gt;4.1.8. AA8&lt;/em&gt;</t>
  </si>
  <si>
    <t>&lt;em&gt;4.1.9. AA9&lt;/em&gt;</t>
  </si>
  <si>
    <t>&lt;em&gt;4.2.1. BB1&lt;/em&gt;</t>
  </si>
  <si>
    <t>&lt;em&gt;4.2.2. BB2&lt;/em&gt;</t>
  </si>
  <si>
    <t>&lt;em&gt;4.2.3. BB3&lt;/em&gt;</t>
  </si>
  <si>
    <t>&lt;em&gt;4.2.4. BB4&lt;/em&gt;</t>
  </si>
  <si>
    <t>&lt;em&gt;4.2.5. BB5&lt;/em&gt;</t>
  </si>
  <si>
    <t>&lt;em&gt;4.2.6. BB6&lt;/em&gt;</t>
  </si>
  <si>
    <t>&lt;em&gt;4.2.7. BB7&lt;/em&gt;</t>
  </si>
  <si>
    <t>&lt;em&gt;4.2.8. BB8&lt;/em&gt;</t>
  </si>
  <si>
    <t>&lt;em&gt;4.2.9. BB9&lt;/em&gt;</t>
  </si>
  <si>
    <t>&lt;em&gt;4.3.1. CC1&lt;/em&gt;</t>
  </si>
  <si>
    <t>&lt;em&gt;4.3.2. CC2&lt;/em&gt;</t>
  </si>
  <si>
    <t>&lt;em&gt;4.3.3. CC3&lt;/em&gt;</t>
  </si>
  <si>
    <t>&lt;em&gt;4.3.4. CC4&lt;/em&gt;</t>
  </si>
  <si>
    <t>&lt;em&gt;4.3.5. CC5&lt;/em&gt;</t>
  </si>
  <si>
    <t>&lt;em&gt;4.3.6. CC6&lt;/em&gt;</t>
  </si>
  <si>
    <t>&lt;em&gt;4.3.7. CC7&lt;/em&gt;</t>
  </si>
  <si>
    <t>&lt;em&gt;4.3.8. CC8&lt;/em&gt;</t>
  </si>
  <si>
    <t>&lt;em&gt;4.3.9. CC9&lt;/em&gt;</t>
  </si>
  <si>
    <t>&lt;em&gt;4.4.1. DD1&lt;/em&gt;</t>
  </si>
  <si>
    <t>&lt;em&gt;4.4.2. DD2&lt;/em&gt;</t>
  </si>
  <si>
    <t>&lt;em&gt;4.4.3. DD3&lt;/em&gt;</t>
  </si>
  <si>
    <t>&lt;em&gt;4.4.4. DD4&lt;/em&gt;</t>
  </si>
  <si>
    <t>&lt;em&gt;4.4.5. DD5&lt;/em&gt;</t>
  </si>
  <si>
    <t>&lt;em&gt;4.4.6. DD6&lt;/em&gt;</t>
  </si>
  <si>
    <t>&lt;em&gt;4.4.7. DD7&lt;/em&gt;</t>
  </si>
  <si>
    <t>&lt;em&gt;4.4.8. DD8&lt;/em&gt;</t>
  </si>
  <si>
    <t>&lt;em&gt;4.4.9. DD9&lt;/em&gt;</t>
  </si>
  <si>
    <t>&lt;em&gt;4.5.1. EE1&lt;/em&gt;</t>
  </si>
  <si>
    <t>&lt;em&gt;4.5.2. EE2&lt;/em&gt;</t>
  </si>
  <si>
    <t>&lt;em&gt;4.5.3. EE3&lt;/em&gt;</t>
  </si>
  <si>
    <t>&lt;em&gt;4.5.4. EE4&lt;/em&gt;</t>
  </si>
  <si>
    <t>&lt;em&gt;4.5.5. EE5&lt;/em&gt;</t>
  </si>
  <si>
    <t>&lt;em&gt;4.5.6. EE6&lt;/em&gt;</t>
  </si>
  <si>
    <t>&lt;em&gt;4.5.7. EE7&lt;/em&gt;</t>
  </si>
  <si>
    <t>&lt;em&gt;4.5.8. EE8&lt;/em&gt;</t>
  </si>
  <si>
    <t>&lt;em&gt;4.5.9. EE9&lt;/em&gt;</t>
  </si>
  <si>
    <t>&lt;em&gt;4.6.1. FF1&lt;/em&gt;</t>
  </si>
  <si>
    <t>&lt;em&gt;4.6.2. FF2&lt;/em&gt;</t>
  </si>
  <si>
    <t>&lt;em&gt;4.6.3. FF3&lt;/em&gt;</t>
  </si>
  <si>
    <t>&lt;em&gt;4.6.4. FF4&lt;/em&gt;</t>
  </si>
  <si>
    <t>&lt;em&gt;4.6.5. FF5&lt;/em&gt;</t>
  </si>
  <si>
    <t>&lt;em&gt;4.6.6. FF6&lt;/em&gt;</t>
  </si>
  <si>
    <t>&lt;em&gt;4.6.7. FF7&lt;/em&gt;</t>
  </si>
  <si>
    <t>&lt;em&gt;4.6.8. FF8&lt;/em&gt;</t>
  </si>
  <si>
    <t>&lt;em&gt;4.6.9. FF9&lt;/em&gt;</t>
  </si>
  <si>
    <t>&lt;strong&gt;10. Company Profile: Key Players&lt;/strong&gt;</t>
  </si>
  <si>
    <t>&lt;em&gt;10.1.1. Company Overview&lt;/em&gt;</t>
  </si>
  <si>
    <t>&lt;em&gt;10.1.2. Business Portfolio&lt;/em&gt;</t>
  </si>
  <si>
    <t>&lt;em&gt;10.1.3. Financial Overview&lt;/em&gt;</t>
  </si>
  <si>
    <t>&lt;em&gt;10.1.4. SWOT Analysis&lt;/em&gt;</t>
  </si>
  <si>
    <t>&lt;em&gt;10.1.5. Strategic Analysis&lt;/em&gt;</t>
  </si>
  <si>
    <t>&lt;em&gt;10.1.6. Scale of Operation (small, medium, and large)&lt;/em&gt;</t>
  </si>
  <si>
    <t>&lt;em&gt;10.1.7. Details on Partnership&lt;/em&gt;</t>
  </si>
  <si>
    <t>&lt;em&gt;10.1.8. Regulatory Accreditations and Certifications Received by Them&lt;/em&gt;</t>
  </si>
  <si>
    <t>&lt;em&gt;10.1.9. Awards Received by the Firm&lt;/em&gt;</t>
  </si>
  <si>
    <t>&lt;em&gt;10.1.10. Recent Developments&lt;/em&gt;</t>
  </si>
  <si>
    <t>&lt;strong&gt;11. Key Findings&lt;/strong&gt;</t>
  </si>
  <si>
    <t>&lt;strong&gt;12. Industry Recommendations&lt;/strong&gt;</t>
  </si>
  <si>
    <t>&lt;strong&gt;13. ABC Market: Research Methodology&lt;/strong&gt;</t>
  </si>
  <si>
    <t>&lt;strong&gt;14. Terms and Glossary&lt;/strong&gt;</t>
  </si>
  <si>
    <t>Segment1</t>
  </si>
  <si>
    <t>Segment2</t>
  </si>
  <si>
    <t>Segment3</t>
  </si>
  <si>
    <t>Segment4</t>
  </si>
  <si>
    <t>Segment5</t>
  </si>
  <si>
    <t>Segment6</t>
  </si>
  <si>
    <t>Key Players</t>
  </si>
  <si>
    <t>AA</t>
  </si>
  <si>
    <t>BB</t>
  </si>
  <si>
    <t>CC</t>
  </si>
  <si>
    <t>DD</t>
  </si>
  <si>
    <t>EE</t>
  </si>
  <si>
    <t>FF</t>
  </si>
  <si>
    <t>Company1</t>
  </si>
  <si>
    <t>10.1. Company1</t>
  </si>
  <si>
    <t>10.2. Company2</t>
  </si>
  <si>
    <t>10.3. Company3</t>
  </si>
  <si>
    <t>10.4. Company4</t>
  </si>
  <si>
    <t>10.5. Company5</t>
  </si>
  <si>
    <t>10.6. Company6</t>
  </si>
  <si>
    <t>10.7. Company7</t>
  </si>
  <si>
    <t>10.8. Company8</t>
  </si>
  <si>
    <t>10.9. Company9</t>
  </si>
  <si>
    <t>10.10. Company10</t>
  </si>
  <si>
    <t>10.11. Company11</t>
  </si>
  <si>
    <t>10.12. Company12</t>
  </si>
  <si>
    <t>10.13. Company13</t>
  </si>
  <si>
    <t>10.14. Company14</t>
  </si>
  <si>
    <t>10.15. Company15</t>
  </si>
  <si>
    <t>10.16. Company16</t>
  </si>
  <si>
    <t>10.17. Company17</t>
  </si>
  <si>
    <t>10.18. Company18</t>
  </si>
  <si>
    <t>10.19. Company19</t>
  </si>
  <si>
    <t>10.20. Company20</t>
  </si>
  <si>
    <t>10.21. Company21</t>
  </si>
  <si>
    <t>10.22. Company22</t>
  </si>
  <si>
    <t>10.23. Company23</t>
  </si>
  <si>
    <t>10.24. Company24</t>
  </si>
  <si>
    <t>10.25. Company25</t>
  </si>
  <si>
    <t>10.26. Company26</t>
  </si>
  <si>
    <t>10.27. Company27</t>
  </si>
  <si>
    <t>10.28. Company28</t>
  </si>
  <si>
    <t>10.29. Company29</t>
  </si>
  <si>
    <t>10.30. Company30</t>
  </si>
  <si>
    <t>&lt;em&gt;3.6.1. North America&lt;/em&gt;</t>
  </si>
  <si>
    <t>&lt;em&gt;3.6.2. Europe&lt;/em&gt;</t>
  </si>
  <si>
    <t>&lt;em&gt;3.6.3. Asia Pacific&lt;/em&gt;</t>
  </si>
  <si>
    <t>&lt;em&gt;3.6.4. Middle East and Africa&lt;/em&gt;</t>
  </si>
  <si>
    <t>&lt;em&gt;3.6.5. South America&lt;/em&gt;</t>
  </si>
  <si>
    <t>Market Name</t>
  </si>
  <si>
    <t>&lt;em&gt;4.1.10. AA10&lt;/em&gt;</t>
  </si>
  <si>
    <t>&lt;em&gt;4.1.11. AA11&lt;/em&gt;</t>
  </si>
  <si>
    <t>&lt;em&gt;4.1.12. AA12&lt;/em&gt;</t>
  </si>
  <si>
    <t>&lt;em&gt;4.1.13. AA13&lt;/em&gt;</t>
  </si>
  <si>
    <t>&lt;em&gt;4.1.14. AA14&lt;/em&gt;</t>
  </si>
  <si>
    <t>&lt;em&gt;4.1.15. AA15&lt;/em&gt;</t>
  </si>
  <si>
    <t>&lt;em&gt;4.2.10. BB10&lt;/em&gt;</t>
  </si>
  <si>
    <t>&lt;em&gt;4.2.11. BB11&lt;/em&gt;</t>
  </si>
  <si>
    <t>&lt;em&gt;4.2.12. BB12&lt;/em&gt;</t>
  </si>
  <si>
    <t>&lt;em&gt;4.2.13. BB13&lt;/em&gt;</t>
  </si>
  <si>
    <t>&lt;em&gt;4.2.14. BB14&lt;/em&gt;</t>
  </si>
  <si>
    <t>&lt;em&gt;4.2.15. BB15&lt;/em&gt;</t>
  </si>
  <si>
    <t>&lt;em&gt;4.3.10. CC10&lt;/em&gt;</t>
  </si>
  <si>
    <t>&lt;em&gt;4.3.11. CC11&lt;/em&gt;</t>
  </si>
  <si>
    <t>&lt;em&gt;4.3.12. CC12&lt;/em&gt;</t>
  </si>
  <si>
    <t>&lt;em&gt;4.3.13. CC13&lt;/em&gt;</t>
  </si>
  <si>
    <t>&lt;em&gt;4.3.14. CC14&lt;/em&gt;</t>
  </si>
  <si>
    <t>&lt;em&gt;4.3.15. CC15&lt;/em&gt;</t>
  </si>
  <si>
    <t>&lt;em&gt;4.4.10. DD10&lt;/em&gt;</t>
  </si>
  <si>
    <t>&lt;em&gt;4.4.11. DD11&lt;/em&gt;</t>
  </si>
  <si>
    <t>&lt;em&gt;4.4.12. DD12&lt;/em&gt;</t>
  </si>
  <si>
    <t>&lt;em&gt;4.4.13. DD13&lt;/em&gt;</t>
  </si>
  <si>
    <t>&lt;em&gt;4.4.14. DD14&lt;/em&gt;</t>
  </si>
  <si>
    <t>&lt;em&gt;4.4.15. DD15&lt;/em&gt;</t>
  </si>
  <si>
    <t>&lt;em&gt;4.5.10. EE10&lt;/em&gt;</t>
  </si>
  <si>
    <t>&lt;em&gt;4.5.11. EE11&lt;/em&gt;</t>
  </si>
  <si>
    <t>&lt;em&gt;4.5.12. EE12&lt;/em&gt;</t>
  </si>
  <si>
    <t>&lt;em&gt;4.5.13. EE13&lt;/em&gt;</t>
  </si>
  <si>
    <t>&lt;em&gt;4.5.14. EE14&lt;/em&gt;</t>
  </si>
  <si>
    <t>&lt;em&gt;4.5.15. EE15&lt;/em&gt;</t>
  </si>
  <si>
    <t>&lt;em&gt;4.6.10. FF10&lt;/em&gt;</t>
  </si>
  <si>
    <t>&lt;em&gt;4.6.11. FF11&lt;/em&gt;</t>
  </si>
  <si>
    <t>&lt;em&gt;4.6.12. FF12&lt;/em&gt;</t>
  </si>
  <si>
    <t>&lt;em&gt;4.6.13. FF13&lt;/em&gt;</t>
  </si>
  <si>
    <t>&lt;em&gt;4.6.14. FF14&lt;/em&gt;</t>
  </si>
  <si>
    <t>&lt;em&gt;4.6.15. FF15&lt;/em&gt;</t>
  </si>
  <si>
    <t>ABC</t>
  </si>
  <si>
    <t>10.31. Company31</t>
  </si>
  <si>
    <t>10.32. Company32</t>
  </si>
  <si>
    <t>10.33. Company33</t>
  </si>
  <si>
    <t>10.34. Company34</t>
  </si>
  <si>
    <t>10.35. Company35</t>
  </si>
  <si>
    <t>10.36. Company36</t>
  </si>
  <si>
    <t>10.37. Company37</t>
  </si>
  <si>
    <t>10.38. Company38</t>
  </si>
  <si>
    <t>10.39. Company39</t>
  </si>
  <si>
    <t>10.40. Company40</t>
  </si>
  <si>
    <t>GG</t>
  </si>
  <si>
    <t>Segment7</t>
  </si>
  <si>
    <t>&lt;em&gt;4.7.1. GG1&lt;/em&gt;</t>
  </si>
  <si>
    <t>&lt;em&gt;4.7.2. GG2&lt;/em&gt;</t>
  </si>
  <si>
    <t>&lt;em&gt;4.7.3. GG3&lt;/em&gt;</t>
  </si>
  <si>
    <t>&lt;em&gt;4.7.4. GG4&lt;/em&gt;</t>
  </si>
  <si>
    <t>&lt;em&gt;4.7.5. GG5&lt;/em&gt;</t>
  </si>
  <si>
    <t>&lt;em&gt;4.7.6. GG6&lt;/em&gt;</t>
  </si>
  <si>
    <t>&lt;em&gt;4.7.7. GG7&lt;/em&gt;</t>
  </si>
  <si>
    <t>&lt;em&gt;4.7.8. GG8&lt;/em&gt;</t>
  </si>
  <si>
    <t>&lt;em&gt;4.7.9. GG9&lt;/em&gt;</t>
  </si>
  <si>
    <t>&lt;em&gt;4.7.10. GG10&lt;/em&gt;</t>
  </si>
  <si>
    <t>&lt;em&gt;4.7.11. GG11&lt;/em&gt;</t>
  </si>
  <si>
    <t>&lt;em&gt;4.7.12. GG12&lt;/em&gt;</t>
  </si>
  <si>
    <t>&lt;em&gt;4.7.13. GG13&lt;/em&gt;</t>
  </si>
  <si>
    <t>&lt;em&gt;4.7.14. GG14&lt;/em&gt;</t>
  </si>
  <si>
    <t>&lt;em&gt;4.7.15. GG15&lt;/em&gt;</t>
  </si>
  <si>
    <t>2.1. MMR Competition Matrix</t>
  </si>
  <si>
    <t>2.2. Competitive Landscape</t>
  </si>
  <si>
    <t>&lt;strong&gt;2. Global ABC Market: Competitive Landscape&lt;/strong&gt;</t>
  </si>
  <si>
    <t>&lt;strong&gt;3. ABC Market: Dynamics&lt;/strong&gt;</t>
  </si>
  <si>
    <t>3.1. ABC Market Trends by Region</t>
  </si>
  <si>
    <t>&lt;em&gt;3.1.1. North America ABC Market Trends&lt;/em&gt;</t>
  </si>
  <si>
    <t>&lt;em&gt;3.1.2. Europe ABC Market Trends&lt;/em&gt;</t>
  </si>
  <si>
    <t>&lt;em&gt;3.1.3. Asia Pacific ABC Market Trends&lt;/em&gt;</t>
  </si>
  <si>
    <t>&lt;em&gt;3.1.4. Middle East and Africa ABC Market Trends&lt;/em&gt;</t>
  </si>
  <si>
    <t>&lt;em&gt;3.1.5. South America ABC Market Trends&lt;/em&gt;</t>
  </si>
  <si>
    <t>3.2. ABC Market Dynamics by Region</t>
  </si>
  <si>
    <t>&lt;em&gt;3.2.1. North America&lt;/em&gt;</t>
  </si>
  <si>
    <t>&lt;em&gt;3.2.1.1. North America ABC Market Drivers&lt;/em&gt;</t>
  </si>
  <si>
    <t>&lt;em&gt;3.2.1.2. North America ABC Market Restraints&lt;/em&gt;</t>
  </si>
  <si>
    <t>&lt;em&gt;3.2.1.3. North America ABC Market Opportunities&lt;/em&gt;</t>
  </si>
  <si>
    <t>&lt;em&gt;3.2.1.4. North America ABC Market Challenges&lt;/em&gt;</t>
  </si>
  <si>
    <t>&lt;em&gt;3.2.2. Europe&lt;/em&gt;</t>
  </si>
  <si>
    <t>&lt;em&gt;3.2.2.1. Europe ABC Market Drivers&lt;/em&gt;</t>
  </si>
  <si>
    <t>&lt;em&gt;3.2.2.2. Europe ABC Market Restraints&lt;/em&gt;</t>
  </si>
  <si>
    <t>&lt;em&gt;3.2.2.3. Europe ABC Market Opportunities&lt;/em&gt;</t>
  </si>
  <si>
    <t>&lt;em&gt;3.2.2.4. Europe ABC Market Challenges&lt;/em&gt;</t>
  </si>
  <si>
    <t>&lt;em&gt;3.2.3. Asia Pacific&lt;/em&gt;</t>
  </si>
  <si>
    <t>&lt;em&gt;3.2.3.1. Asia Pacific ABC Market Drivers&lt;/em&gt;</t>
  </si>
  <si>
    <t>&lt;em&gt;3.2.3.2. Asia Pacific ABC Market Restraints&lt;/em&gt;</t>
  </si>
  <si>
    <t>&lt;em&gt;3.2.3.3. Asia Pacific ABC Market Opportunities&lt;/em&gt;</t>
  </si>
  <si>
    <t>&lt;em&gt;3.2.3.4. Asia Pacific ABC Market Challenges&lt;/em&gt;</t>
  </si>
  <si>
    <t>&lt;em&gt;3.2.4. Middle East and Africa&lt;/em&gt;</t>
  </si>
  <si>
    <t>&lt;em&gt;3.2.4.1. Middle East and Africa ABC Market Drivers&lt;/em&gt;</t>
  </si>
  <si>
    <t>&lt;em&gt;3.2.4.2. Middle East and Africa ABC Market Restraints&lt;/em&gt;</t>
  </si>
  <si>
    <t>&lt;em&gt;3.2.4.3. Middle East and Africa ABC Market Opportunities&lt;/em&gt;</t>
  </si>
  <si>
    <t>&lt;em&gt;3.2.4.4. Middle East and Africa ABC Market Challenges&lt;/em&gt;</t>
  </si>
  <si>
    <t>&lt;em&gt;3.2.5. South America&lt;/em&gt;</t>
  </si>
  <si>
    <t>&lt;em&gt;3.2.5.1. South America ABC Market Drivers&lt;/em&gt;</t>
  </si>
  <si>
    <t>&lt;em&gt;3.2.5.2. South America ABC Market Restraints&lt;/em&gt;</t>
  </si>
  <si>
    <t>&lt;em&gt;3.2.5.3. South America ABC Market Opportunities&lt;/em&gt;</t>
  </si>
  <si>
    <t>&lt;em&gt;3.2.5.4. South America ABC Market Challenges&lt;/em&gt;</t>
  </si>
  <si>
    <t>3.3. PORTER’s Five Forces Analysis</t>
  </si>
  <si>
    <t>3.4. PESTLE Analysis</t>
  </si>
  <si>
    <t>3.5. Technology Roadmap</t>
  </si>
  <si>
    <t>3.6. Regulatory Landscape by Region</t>
  </si>
  <si>
    <t>3.7. Key Opinion Leader Analysis For ABC Industry</t>
  </si>
  <si>
    <t>3.8. Analysis of Government Schemes and Initiatives For ABC Industry</t>
  </si>
  <si>
    <t>3.9. ABC Market Trade Analysis</t>
  </si>
  <si>
    <t>3.10. The Global Pandemic Impact on ABC Market</t>
  </si>
  <si>
    <t>&lt;em&gt;4.3.1. North America&lt;/em&gt;</t>
  </si>
  <si>
    <t>&lt;em&gt;4.3.2. Europe&lt;/em&gt;</t>
  </si>
  <si>
    <t>&lt;em&gt;4.3.3. Asia Pacific&lt;/em&gt;</t>
  </si>
  <si>
    <t>&lt;em&gt;4.3.4. Middle East and Africa&lt;/em&gt;</t>
  </si>
  <si>
    <t>&lt;em&gt;4.3.5. South America&lt;/em&gt;</t>
  </si>
  <si>
    <t>&lt;em&gt;5.1.1. AA1&lt;/em&gt;</t>
  </si>
  <si>
    <t>&lt;em&gt;5.1.2. AA2&lt;/em&gt;</t>
  </si>
  <si>
    <t>&lt;em&gt;5.1.3. AA3&lt;/em&gt;</t>
  </si>
  <si>
    <t>&lt;em&gt;5.1.4. AA4&lt;/em&gt;</t>
  </si>
  <si>
    <t>&lt;em&gt;5.1.5. AA5&lt;/em&gt;</t>
  </si>
  <si>
    <t>&lt;em&gt;5.1.6. AA6&lt;/em&gt;</t>
  </si>
  <si>
    <t>&lt;em&gt;5.1.7. AA7&lt;/em&gt;</t>
  </si>
  <si>
    <t>&lt;em&gt;5.1.8. AA8&lt;/em&gt;</t>
  </si>
  <si>
    <t>&lt;em&gt;5.1.9. AA9&lt;/em&gt;</t>
  </si>
  <si>
    <t>&lt;em&gt;5.1.10. AA10&lt;/em&gt;</t>
  </si>
  <si>
    <t>&lt;em&gt;5.1.11. AA11&lt;/em&gt;</t>
  </si>
  <si>
    <t>&lt;em&gt;5.1.12. AA12&lt;/em&gt;</t>
  </si>
  <si>
    <t>&lt;em&gt;5.1.13. AA13&lt;/em&gt;</t>
  </si>
  <si>
    <t>&lt;em&gt;5.1.14. AA14&lt;/em&gt;</t>
  </si>
  <si>
    <t>&lt;em&gt;5.1.15. AA15&lt;/em&gt;</t>
  </si>
  <si>
    <t>&lt;em&gt;5.2.1. BB1&lt;/em&gt;</t>
  </si>
  <si>
    <t>&lt;em&gt;5.2.2. BB2&lt;/em&gt;</t>
  </si>
  <si>
    <t>&lt;em&gt;5.2.3. BB3&lt;/em&gt;</t>
  </si>
  <si>
    <t>&lt;em&gt;5.2.4. BB4&lt;/em&gt;</t>
  </si>
  <si>
    <t>&lt;em&gt;5.2.5. BB5&lt;/em&gt;</t>
  </si>
  <si>
    <t>&lt;em&gt;5.2.6. BB6&lt;/em&gt;</t>
  </si>
  <si>
    <t>&lt;em&gt;5.2.7. BB7&lt;/em&gt;</t>
  </si>
  <si>
    <t>&lt;em&gt;5.2.8. BB8&lt;/em&gt;</t>
  </si>
  <si>
    <t>&lt;em&gt;5.2.9. BB9&lt;/em&gt;</t>
  </si>
  <si>
    <t>&lt;em&gt;5.2.10. BB10&lt;/em&gt;</t>
  </si>
  <si>
    <t>&lt;em&gt;5.2.11. BB11&lt;/em&gt;</t>
  </si>
  <si>
    <t>&lt;em&gt;5.2.12. BB12&lt;/em&gt;</t>
  </si>
  <si>
    <t>&lt;em&gt;5.2.13. BB13&lt;/em&gt;</t>
  </si>
  <si>
    <t>&lt;em&gt;5.2.14. BB14&lt;/em&gt;</t>
  </si>
  <si>
    <t>&lt;em&gt;5.2.15. BB15&lt;/em&gt;</t>
  </si>
  <si>
    <t>&lt;strong&gt;&lt;em&gt;5.3.1. United States&lt;/em&gt;&lt;/strong&gt;</t>
  </si>
  <si>
    <t>&lt;em&gt;5.3.1.1.1. AA1&lt;/em&gt;</t>
  </si>
  <si>
    <t>&lt;em&gt;5.3.1.1.2. AA2&lt;/em&gt;</t>
  </si>
  <si>
    <t>&lt;em&gt;5.3.1.1.3. AA3&lt;/em&gt;</t>
  </si>
  <si>
    <t>&lt;em&gt;5.3.1.1.4. AA4&lt;/em&gt;</t>
  </si>
  <si>
    <t>&lt;em&gt;5.3.1.1.5. AA5&lt;/em&gt;</t>
  </si>
  <si>
    <t>&lt;em&gt;5.3.1.1.6. AA6&lt;/em&gt;</t>
  </si>
  <si>
    <t>&lt;em&gt;5.3.1.1.7. AA7&lt;/em&gt;</t>
  </si>
  <si>
    <t>&lt;em&gt;5.3.1.1.8. AA8&lt;/em&gt;</t>
  </si>
  <si>
    <t>&lt;em&gt;5.3.1.1.9. AA9&lt;/em&gt;</t>
  </si>
  <si>
    <t>&lt;em&gt;5.3.1.1.10. AA10&lt;/em&gt;</t>
  </si>
  <si>
    <t>&lt;em&gt;5.3.1.1.11. AA11&lt;/em&gt;</t>
  </si>
  <si>
    <t>&lt;em&gt;5.3.1.1.12. AA12&lt;/em&gt;</t>
  </si>
  <si>
    <t>&lt;em&gt;5.3.1.1.13. AA13&lt;/em&gt;</t>
  </si>
  <si>
    <t>&lt;em&gt;5.3.1.1.14. AA14&lt;/em&gt;</t>
  </si>
  <si>
    <t>&lt;em&gt;5.3.1.1.15. AA15&lt;/em&gt;</t>
  </si>
  <si>
    <t>&lt;em&gt;5.3.1.2.1. BB1&lt;/em&gt;</t>
  </si>
  <si>
    <t>&lt;em&gt;5.3.1.2.2. BB2&lt;/em&gt;</t>
  </si>
  <si>
    <t>&lt;em&gt;5.3.1.2.3. BB3&lt;/em&gt;</t>
  </si>
  <si>
    <t>&lt;em&gt;5.3.1.2.4. BB4&lt;/em&gt;</t>
  </si>
  <si>
    <t>&lt;em&gt;5.3.1.2.5. BB5&lt;/em&gt;</t>
  </si>
  <si>
    <t>&lt;em&gt;5.3.1.2.6. BB6&lt;/em&gt;</t>
  </si>
  <si>
    <t>&lt;em&gt;5.3.1.2.7. BB7&lt;/em&gt;</t>
  </si>
  <si>
    <t>&lt;em&gt;5.3.1.2.8. BB8&lt;/em&gt;</t>
  </si>
  <si>
    <t>&lt;em&gt;5.3.1.2.9. BB9&lt;/em&gt;</t>
  </si>
  <si>
    <t>&lt;em&gt;5.3.1.2.10. BB10&lt;/em&gt;</t>
  </si>
  <si>
    <t>&lt;em&gt;5.3.1.2.11. BB11&lt;/em&gt;</t>
  </si>
  <si>
    <t>&lt;em&gt;5.3.1.2.12. BB12&lt;/em&gt;</t>
  </si>
  <si>
    <t>&lt;em&gt;5.3.1.2.13. BB13&lt;/em&gt;</t>
  </si>
  <si>
    <t>&lt;em&gt;5.3.1.2.14. BB14&lt;/em&gt;</t>
  </si>
  <si>
    <t>&lt;em&gt;5.3.1.2.15. BB15&lt;/em&gt;</t>
  </si>
  <si>
    <t>&lt;strong&gt;&lt;em&gt;5.3.2. Canada&lt;/em&gt;&lt;/strong&gt;</t>
  </si>
  <si>
    <t>&lt;em&gt;5.3.2.1.1. AA1&lt;/em&gt;</t>
  </si>
  <si>
    <t>&lt;em&gt;5.3.2.1.2. AA2&lt;/em&gt;</t>
  </si>
  <si>
    <t>&lt;em&gt;5.3.2.1.3. AA3&lt;/em&gt;</t>
  </si>
  <si>
    <t>&lt;em&gt;5.3.2.1.4. AA4&lt;/em&gt;</t>
  </si>
  <si>
    <t>&lt;em&gt;5.3.2.1.5. AA5&lt;/em&gt;</t>
  </si>
  <si>
    <t>&lt;em&gt;5.3.2.1.6. AA6&lt;/em&gt;</t>
  </si>
  <si>
    <t>&lt;em&gt;5.3.2.1.7. AA7&lt;/em&gt;</t>
  </si>
  <si>
    <t>&lt;em&gt;5.3.2.1.8. AA8&lt;/em&gt;</t>
  </si>
  <si>
    <t>&lt;em&gt;5.3.2.1.9. AA9&lt;/em&gt;</t>
  </si>
  <si>
    <t>&lt;em&gt;5.3.2.1.10. AA10&lt;/em&gt;</t>
  </si>
  <si>
    <t>&lt;em&gt;5.3.2.1.11. AA11&lt;/em&gt;</t>
  </si>
  <si>
    <t>&lt;em&gt;5.3.2.1.12. AA12&lt;/em&gt;</t>
  </si>
  <si>
    <t>&lt;em&gt;5.3.2.1.13. AA13&lt;/em&gt;</t>
  </si>
  <si>
    <t>&lt;em&gt;5.3.2.1.14. AA14&lt;/em&gt;</t>
  </si>
  <si>
    <t>&lt;em&gt;5.3.2.1.15. AA15&lt;/em&gt;</t>
  </si>
  <si>
    <t>&lt;em&gt;5.3.2.2.1. BB1&lt;/em&gt;</t>
  </si>
  <si>
    <t>&lt;em&gt;5.3.2.2.2. BB2&lt;/em&gt;</t>
  </si>
  <si>
    <t>&lt;em&gt;5.3.2.2.3. BB3&lt;/em&gt;</t>
  </si>
  <si>
    <t>&lt;em&gt;5.3.2.2.4. BB4&lt;/em&gt;</t>
  </si>
  <si>
    <t>&lt;em&gt;5.3.2.2.5. BB5&lt;/em&gt;</t>
  </si>
  <si>
    <t>&lt;em&gt;5.3.2.2.6. BB6&lt;/em&gt;</t>
  </si>
  <si>
    <t>&lt;em&gt;5.3.2.2.7. BB7&lt;/em&gt;</t>
  </si>
  <si>
    <t>&lt;em&gt;5.3.2.2.8. BB8&lt;/em&gt;</t>
  </si>
  <si>
    <t>&lt;em&gt;5.3.2.2.9. BB9&lt;/em&gt;</t>
  </si>
  <si>
    <t>&lt;em&gt;5.3.2.2.10. BB10&lt;/em&gt;</t>
  </si>
  <si>
    <t>&lt;em&gt;5.3.2.2.11. BB11&lt;/em&gt;</t>
  </si>
  <si>
    <t>&lt;em&gt;5.3.2.2.12. BB12&lt;/em&gt;</t>
  </si>
  <si>
    <t>&lt;em&gt;5.3.2.2.13. BB13&lt;/em&gt;</t>
  </si>
  <si>
    <t>&lt;em&gt;5.3.2.2.14. BB14&lt;/em&gt;</t>
  </si>
  <si>
    <t>&lt;em&gt;5.3.2.2.15. BB15&lt;/em&gt;</t>
  </si>
  <si>
    <t>&lt;strong&gt;&lt;em&gt;5.3.3. Mexico&lt;/em&gt;&lt;/strong&gt;</t>
  </si>
  <si>
    <t>&lt;em&gt;5.3.3.1.1. AA1&lt;/em&gt;</t>
  </si>
  <si>
    <t>&lt;em&gt;5.3.3.1.2. AA2&lt;/em&gt;</t>
  </si>
  <si>
    <t>&lt;em&gt;5.3.3.1.3. AA3&lt;/em&gt;</t>
  </si>
  <si>
    <t>&lt;em&gt;5.3.3.1.4. AA4&lt;/em&gt;</t>
  </si>
  <si>
    <t>&lt;em&gt;5.3.3.1.5. AA5&lt;/em&gt;</t>
  </si>
  <si>
    <t>&lt;em&gt;5.3.3.1.6. AA6&lt;/em&gt;</t>
  </si>
  <si>
    <t>&lt;em&gt;5.3.3.1.7. AA7&lt;/em&gt;</t>
  </si>
  <si>
    <t>&lt;em&gt;5.3.3.1.8. AA8&lt;/em&gt;</t>
  </si>
  <si>
    <t>&lt;em&gt;5.3.3.1.9. AA9&lt;/em&gt;</t>
  </si>
  <si>
    <t>&lt;em&gt;5.3.3.1.10. AA10&lt;/em&gt;</t>
  </si>
  <si>
    <t>&lt;em&gt;5.3.3.1.11. AA11&lt;/em&gt;</t>
  </si>
  <si>
    <t>&lt;em&gt;5.3.3.1.12. AA12&lt;/em&gt;</t>
  </si>
  <si>
    <t>&lt;em&gt;5.3.3.1.13. AA13&lt;/em&gt;</t>
  </si>
  <si>
    <t>&lt;em&gt;5.3.3.1.14. AA14&lt;/em&gt;</t>
  </si>
  <si>
    <t>&lt;em&gt;5.3.3.1.15. AA15&lt;/em&gt;</t>
  </si>
  <si>
    <t>&lt;em&gt;5.3.3.2.1. BB1&lt;/em&gt;</t>
  </si>
  <si>
    <t>&lt;em&gt;5.3.3.2.2. BB2&lt;/em&gt;</t>
  </si>
  <si>
    <t>&lt;em&gt;5.3.3.2.3. BB3&lt;/em&gt;</t>
  </si>
  <si>
    <t>&lt;em&gt;5.3.3.2.4. BB4&lt;/em&gt;</t>
  </si>
  <si>
    <t>&lt;em&gt;5.3.3.2.5. BB5&lt;/em&gt;</t>
  </si>
  <si>
    <t>&lt;em&gt;5.3.3.2.6. BB6&lt;/em&gt;</t>
  </si>
  <si>
    <t>&lt;em&gt;5.3.3.2.7. BB7&lt;/em&gt;</t>
  </si>
  <si>
    <t>&lt;em&gt;5.3.3.2.8. BB8&lt;/em&gt;</t>
  </si>
  <si>
    <t>&lt;em&gt;5.3.3.2.9. BB9&lt;/em&gt;</t>
  </si>
  <si>
    <t>&lt;em&gt;5.3.3.2.10. BB10&lt;/em&gt;</t>
  </si>
  <si>
    <t>&lt;em&gt;5.3.3.2.11. BB11&lt;/em&gt;</t>
  </si>
  <si>
    <t>&lt;em&gt;5.3.3.2.12. BB12&lt;/em&gt;</t>
  </si>
  <si>
    <t>&lt;em&gt;5.3.3.2.13. BB13&lt;/em&gt;</t>
  </si>
  <si>
    <t>&lt;em&gt;5.3.3.2.14. BB14&lt;/em&gt;</t>
  </si>
  <si>
    <t>&lt;em&gt;5.3.3.2.15. BB15&lt;/em&gt;</t>
  </si>
  <si>
    <t>&lt;strong&gt;&lt;em&gt;6.3.1. United Kingdom&lt;/em&gt;&lt;/strong&gt;</t>
  </si>
  <si>
    <t>&lt;strong&gt;&lt;em&gt;6.3.2. France&lt;/em&gt;&lt;/strong&gt;</t>
  </si>
  <si>
    <t>&lt;strong&gt;&lt;em&gt;6.3.3. Germany&lt;/em&gt;&lt;/strong&gt;</t>
  </si>
  <si>
    <t>&lt;strong&gt;&lt;em&gt;6.3.4. Italy&lt;/em&gt;&lt;/strong&gt;</t>
  </si>
  <si>
    <t>&lt;strong&gt;&lt;em&gt;6.3.5. Spain&lt;/em&gt;&lt;/strong&gt;</t>
  </si>
  <si>
    <t>&lt;strong&gt;&lt;em&gt;6.3.6. Sweden&lt;/em&gt;&lt;/strong&gt;</t>
  </si>
  <si>
    <t>&lt;strong&gt;&lt;em&gt;6.3.7. Austria&lt;/em&gt;&lt;/strong&gt;</t>
  </si>
  <si>
    <t>&lt;strong&gt;&lt;em&gt;6.3.8. Rest of Europe&lt;/em&gt;&lt;/strong&gt;</t>
  </si>
  <si>
    <t>&lt;strong&gt;&lt;em&gt;7.3.1. China&lt;/em&gt;&lt;/strong&gt;</t>
  </si>
  <si>
    <t>&lt;strong&gt;&lt;em&gt;7.3.2. S Korea&lt;/em&gt;&lt;/strong&gt;</t>
  </si>
  <si>
    <t>&lt;strong&gt;&lt;em&gt;7.3.3. Japan&lt;/em&gt;&lt;/strong&gt;</t>
  </si>
  <si>
    <t>&lt;strong&gt;&lt;em&gt;7.3.4. India&lt;/em&gt;&lt;/strong&gt;</t>
  </si>
  <si>
    <t>&lt;strong&gt;&lt;em&gt;7.3.5. Australia&lt;/em&gt;&lt;/strong&gt;</t>
  </si>
  <si>
    <t>&lt;strong&gt;&lt;em&gt;7.3.6. Indonesia&lt;/em&gt;&lt;/strong&gt;</t>
  </si>
  <si>
    <t>&lt;strong&gt;&lt;em&gt;7.3.7. Malaysia&lt;/em&gt;&lt;/strong&gt;</t>
  </si>
  <si>
    <t>&lt;strong&gt;&lt;em&gt;7.3.8. Vietnam&lt;/em&gt;&lt;/strong&gt;</t>
  </si>
  <si>
    <t>&lt;strong&gt;&lt;em&gt;7.3.9. Taiwan&lt;/em&gt;&lt;/strong&gt;</t>
  </si>
  <si>
    <t>&lt;strong&gt;&lt;em&gt;7.3.10. Rest of Asia Pacific&lt;/em&gt;&lt;/strong&gt;</t>
  </si>
  <si>
    <t>&lt;strong&gt;&lt;em&gt;8.3.1. South Africa&lt;/em&gt;&lt;/strong&gt;</t>
  </si>
  <si>
    <t>&lt;strong&gt;&lt;em&gt;8.3.2. GCC&lt;/em&gt;&lt;/strong&gt;</t>
  </si>
  <si>
    <t>&lt;strong&gt;&lt;em&gt;8.3.3. Nigeria&lt;/em&gt;&lt;/strong&gt;</t>
  </si>
  <si>
    <t>&lt;strong&gt;&lt;em&gt;9.3.1. Brazil&lt;/em&gt;&lt;/strong&gt;</t>
  </si>
  <si>
    <t>&lt;strong&gt;&lt;em&gt;9.3.2. Argentina&lt;/em&gt;&lt;/strong&gt;</t>
  </si>
  <si>
    <t>&lt;strong&gt;&lt;em&gt;9.3.3. Rest Of South America&lt;/em&gt;&lt;/strong&gt;</t>
  </si>
  <si>
    <t>2.3. Key Players Benchmarking</t>
  </si>
  <si>
    <t>&lt;em&gt;2.3.1. Company Name&lt;/em&gt;</t>
  </si>
  <si>
    <t>&lt;em&gt;2.3.2. Business Segment&lt;/em&gt;</t>
  </si>
  <si>
    <t>&lt;em&gt;2.3.3. End-user Segment&lt;/em&gt;</t>
  </si>
  <si>
    <t>&lt;em&gt;2.3.5. Company Locations&lt;/em&gt;</t>
  </si>
  <si>
    <t>2.4. Leading ABC Market Companies, by market capitalization</t>
  </si>
  <si>
    <t>2.5. Market Structure</t>
  </si>
  <si>
    <t>&lt;em&gt;2.5.1. Market Leaders&lt;/em&gt;</t>
  </si>
  <si>
    <t>&lt;em&gt;2.5.2. Market Followers&lt;/em&gt;</t>
  </si>
  <si>
    <t>&lt;em&gt;2.5.3. Emerging Players&lt;/em&gt;</t>
  </si>
  <si>
    <t>2.6. Mergers and Acquisitions Details</t>
  </si>
  <si>
    <t>&lt;em&gt;4.8.1. North America&lt;/em&gt;</t>
  </si>
  <si>
    <t>&lt;em&gt;4.8.2. Europe&lt;/em&gt;</t>
  </si>
  <si>
    <t>&lt;em&gt;4.8.3. Asia Pacific&lt;/em&gt;</t>
  </si>
  <si>
    <t>&lt;em&gt;4.8.4. Middle East and Africa&lt;/em&gt;</t>
  </si>
  <si>
    <t>&lt;em&gt;4.8.5. South America&lt;/em&gt;</t>
  </si>
  <si>
    <t>&lt;em&gt;5.3.1. CC1&lt;/em&gt;</t>
  </si>
  <si>
    <t>&lt;em&gt;5.3.2. CC2&lt;/em&gt;</t>
  </si>
  <si>
    <t>&lt;em&gt;5.3.3. CC3&lt;/em&gt;</t>
  </si>
  <si>
    <t>&lt;em&gt;5.3.4. CC4&lt;/em&gt;</t>
  </si>
  <si>
    <t>&lt;em&gt;5.3.5. CC5&lt;/em&gt;</t>
  </si>
  <si>
    <t>&lt;em&gt;5.3.6. CC6&lt;/em&gt;</t>
  </si>
  <si>
    <t>&lt;em&gt;5.3.7. CC7&lt;/em&gt;</t>
  </si>
  <si>
    <t>&lt;em&gt;5.3.8. CC8&lt;/em&gt;</t>
  </si>
  <si>
    <t>&lt;em&gt;5.3.9. CC9&lt;/em&gt;</t>
  </si>
  <si>
    <t>&lt;em&gt;5.3.10. CC10&lt;/em&gt;</t>
  </si>
  <si>
    <t>&lt;em&gt;5.3.11. CC11&lt;/em&gt;</t>
  </si>
  <si>
    <t>&lt;em&gt;5.3.12. CC12&lt;/em&gt;</t>
  </si>
  <si>
    <t>&lt;em&gt;5.3.13. CC13&lt;/em&gt;</t>
  </si>
  <si>
    <t>&lt;em&gt;5.3.14. CC14&lt;/em&gt;</t>
  </si>
  <si>
    <t>&lt;em&gt;5.3.15. CC15&lt;/em&gt;</t>
  </si>
  <si>
    <t>&lt;em&gt;5.4.1. DD1&lt;/em&gt;</t>
  </si>
  <si>
    <t>&lt;em&gt;5.4.2. DD2&lt;/em&gt;</t>
  </si>
  <si>
    <t>&lt;em&gt;5.4.3. DD3&lt;/em&gt;</t>
  </si>
  <si>
    <t>&lt;em&gt;5.4.4. DD4&lt;/em&gt;</t>
  </si>
  <si>
    <t>&lt;em&gt;5.4.5. DD5&lt;/em&gt;</t>
  </si>
  <si>
    <t>&lt;em&gt;5.4.6. DD6&lt;/em&gt;</t>
  </si>
  <si>
    <t>&lt;em&gt;5.4.7. DD7&lt;/em&gt;</t>
  </si>
  <si>
    <t>&lt;em&gt;5.4.8. DD8&lt;/em&gt;</t>
  </si>
  <si>
    <t>&lt;em&gt;5.4.9. DD9&lt;/em&gt;</t>
  </si>
  <si>
    <t>&lt;em&gt;5.4.10. DD10&lt;/em&gt;</t>
  </si>
  <si>
    <t>&lt;em&gt;5.4.11. DD11&lt;/em&gt;</t>
  </si>
  <si>
    <t>&lt;em&gt;5.4.12. DD12&lt;/em&gt;</t>
  </si>
  <si>
    <t>&lt;em&gt;5.4.13. DD13&lt;/em&gt;</t>
  </si>
  <si>
    <t>&lt;em&gt;5.4.14. DD14&lt;/em&gt;</t>
  </si>
  <si>
    <t>&lt;em&gt;5.4.15. DD15&lt;/em&gt;</t>
  </si>
  <si>
    <t>&lt;em&gt;5.5.1. EE1&lt;/em&gt;</t>
  </si>
  <si>
    <t>&lt;em&gt;5.5.2. EE2&lt;/em&gt;</t>
  </si>
  <si>
    <t>&lt;em&gt;5.5.3. EE3&lt;/em&gt;</t>
  </si>
  <si>
    <t>&lt;em&gt;5.5.4. EE4&lt;/em&gt;</t>
  </si>
  <si>
    <t>&lt;em&gt;5.5.5. EE5&lt;/em&gt;</t>
  </si>
  <si>
    <t>&lt;em&gt;5.5.6. EE6&lt;/em&gt;</t>
  </si>
  <si>
    <t>&lt;em&gt;5.5.7. EE7&lt;/em&gt;</t>
  </si>
  <si>
    <t>&lt;em&gt;5.5.8. EE8&lt;/em&gt;</t>
  </si>
  <si>
    <t>&lt;em&gt;5.5.9. EE9&lt;/em&gt;</t>
  </si>
  <si>
    <t>&lt;em&gt;5.5.10. EE10&lt;/em&gt;</t>
  </si>
  <si>
    <t>&lt;em&gt;5.5.11. EE11&lt;/em&gt;</t>
  </si>
  <si>
    <t>&lt;em&gt;5.5.12. EE12&lt;/em&gt;</t>
  </si>
  <si>
    <t>&lt;em&gt;5.5.13. EE13&lt;/em&gt;</t>
  </si>
  <si>
    <t>&lt;em&gt;5.5.14. EE14&lt;/em&gt;</t>
  </si>
  <si>
    <t>&lt;em&gt;5.5.15. EE15&lt;/em&gt;</t>
  </si>
  <si>
    <t>&lt;em&gt;5.6.1. FF1&lt;/em&gt;</t>
  </si>
  <si>
    <t>&lt;em&gt;5.6.2. FF2&lt;/em&gt;</t>
  </si>
  <si>
    <t>&lt;em&gt;5.6.3. FF3&lt;/em&gt;</t>
  </si>
  <si>
    <t>&lt;em&gt;5.6.4. FF4&lt;/em&gt;</t>
  </si>
  <si>
    <t>&lt;em&gt;5.6.5. FF5&lt;/em&gt;</t>
  </si>
  <si>
    <t>&lt;em&gt;5.6.6. FF6&lt;/em&gt;</t>
  </si>
  <si>
    <t>&lt;em&gt;5.6.7. FF7&lt;/em&gt;</t>
  </si>
  <si>
    <t>&lt;em&gt;5.6.8. FF8&lt;/em&gt;</t>
  </si>
  <si>
    <t>&lt;em&gt;5.6.9. FF9&lt;/em&gt;</t>
  </si>
  <si>
    <t>&lt;em&gt;5.6.10. FF10&lt;/em&gt;</t>
  </si>
  <si>
    <t>&lt;em&gt;5.6.11. FF11&lt;/em&gt;</t>
  </si>
  <si>
    <t>&lt;em&gt;5.6.12. FF12&lt;/em&gt;</t>
  </si>
  <si>
    <t>&lt;em&gt;5.6.13. FF13&lt;/em&gt;</t>
  </si>
  <si>
    <t>&lt;em&gt;5.6.14. FF14&lt;/em&gt;</t>
  </si>
  <si>
    <t>&lt;em&gt;5.6.15. FF15&lt;/em&gt;</t>
  </si>
  <si>
    <t>&lt;em&gt;5.7.1. GG1&lt;/em&gt;</t>
  </si>
  <si>
    <t>&lt;em&gt;5.7.2. GG2&lt;/em&gt;</t>
  </si>
  <si>
    <t>&lt;em&gt;5.7.3. GG3&lt;/em&gt;</t>
  </si>
  <si>
    <t>&lt;em&gt;5.7.4. GG4&lt;/em&gt;</t>
  </si>
  <si>
    <t>&lt;em&gt;5.7.5. GG5&lt;/em&gt;</t>
  </si>
  <si>
    <t>&lt;em&gt;5.7.6. GG6&lt;/em&gt;</t>
  </si>
  <si>
    <t>&lt;em&gt;5.7.7. GG7&lt;/em&gt;</t>
  </si>
  <si>
    <t>&lt;em&gt;5.7.8. GG8&lt;/em&gt;</t>
  </si>
  <si>
    <t>&lt;em&gt;5.7.9. GG9&lt;/em&gt;</t>
  </si>
  <si>
    <t>&lt;em&gt;5.7.10. GG10&lt;/em&gt;</t>
  </si>
  <si>
    <t>&lt;em&gt;5.7.11. GG11&lt;/em&gt;</t>
  </si>
  <si>
    <t>&lt;em&gt;5.7.12. GG12&lt;/em&gt;</t>
  </si>
  <si>
    <t>&lt;em&gt;5.7.13. GG13&lt;/em&gt;</t>
  </si>
  <si>
    <t>&lt;em&gt;5.7.14. GG14&lt;/em&gt;</t>
  </si>
  <si>
    <t>&lt;em&gt;5.7.15. GG15&lt;/em&gt;</t>
  </si>
  <si>
    <t>&lt;strong&gt;&lt;em&gt;5.8.1. United States&lt;/em&gt;&lt;/strong&gt;</t>
  </si>
  <si>
    <t>&lt;em&gt;5.8.1.1.1. AA1&lt;/em&gt;</t>
  </si>
  <si>
    <t>&lt;em&gt;5.8.1.1.2. AA2&lt;/em&gt;</t>
  </si>
  <si>
    <t>&lt;em&gt;5.8.1.1.3. AA3&lt;/em&gt;</t>
  </si>
  <si>
    <t>&lt;em&gt;5.8.1.1.4. AA4&lt;/em&gt;</t>
  </si>
  <si>
    <t>&lt;em&gt;5.8.1.1.5. AA5&lt;/em&gt;</t>
  </si>
  <si>
    <t>&lt;em&gt;5.8.1.1.6. AA6&lt;/em&gt;</t>
  </si>
  <si>
    <t>&lt;em&gt;5.8.1.1.7. AA7&lt;/em&gt;</t>
  </si>
  <si>
    <t>&lt;em&gt;5.8.1.1.8. AA8&lt;/em&gt;</t>
  </si>
  <si>
    <t>&lt;em&gt;5.8.1.1.9. AA9&lt;/em&gt;</t>
  </si>
  <si>
    <t>&lt;em&gt;5.8.1.1.10. AA10&lt;/em&gt;</t>
  </si>
  <si>
    <t>&lt;em&gt;5.8.1.1.11. AA11&lt;/em&gt;</t>
  </si>
  <si>
    <t>&lt;em&gt;5.8.1.1.12. AA12&lt;/em&gt;</t>
  </si>
  <si>
    <t>&lt;em&gt;5.8.1.1.13. AA13&lt;/em&gt;</t>
  </si>
  <si>
    <t>&lt;em&gt;5.8.1.1.14. AA14&lt;/em&gt;</t>
  </si>
  <si>
    <t>&lt;em&gt;5.8.1.1.15. AA15&lt;/em&gt;</t>
  </si>
  <si>
    <t>&lt;em&gt;5.8.1.2.1. BB1&lt;/em&gt;</t>
  </si>
  <si>
    <t>&lt;em&gt;5.8.1.2.2. BB2&lt;/em&gt;</t>
  </si>
  <si>
    <t>&lt;em&gt;5.8.1.2.3. BB3&lt;/em&gt;</t>
  </si>
  <si>
    <t>&lt;em&gt;5.8.1.2.4. BB4&lt;/em&gt;</t>
  </si>
  <si>
    <t>&lt;em&gt;5.8.1.2.5. BB5&lt;/em&gt;</t>
  </si>
  <si>
    <t>&lt;em&gt;5.8.1.2.6. BB6&lt;/em&gt;</t>
  </si>
  <si>
    <t>&lt;em&gt;5.8.1.2.7. BB7&lt;/em&gt;</t>
  </si>
  <si>
    <t>&lt;em&gt;5.8.1.2.8. BB8&lt;/em&gt;</t>
  </si>
  <si>
    <t>&lt;em&gt;5.8.1.2.9. BB9&lt;/em&gt;</t>
  </si>
  <si>
    <t>&lt;em&gt;5.8.1.2.10. BB10&lt;/em&gt;</t>
  </si>
  <si>
    <t>&lt;em&gt;5.8.1.2.11. BB11&lt;/em&gt;</t>
  </si>
  <si>
    <t>&lt;em&gt;5.8.1.2.12. BB12&lt;/em&gt;</t>
  </si>
  <si>
    <t>&lt;em&gt;5.8.1.2.13. BB13&lt;/em&gt;</t>
  </si>
  <si>
    <t>&lt;em&gt;5.8.1.2.14. BB14&lt;/em&gt;</t>
  </si>
  <si>
    <t>&lt;em&gt;5.8.1.2.15. BB15&lt;/em&gt;</t>
  </si>
  <si>
    <t>&lt;em&gt;5.8.1.3.1. CC1&lt;/em&gt;</t>
  </si>
  <si>
    <t>&lt;em&gt;5.8.1.3.2. CC2&lt;/em&gt;</t>
  </si>
  <si>
    <t>&lt;em&gt;5.8.1.3.3. CC3&lt;/em&gt;</t>
  </si>
  <si>
    <t>&lt;em&gt;5.8.1.3.4. CC4&lt;/em&gt;</t>
  </si>
  <si>
    <t>&lt;em&gt;5.8.1.3.5. CC5&lt;/em&gt;</t>
  </si>
  <si>
    <t>&lt;em&gt;5.8.1.3.6. CC6&lt;/em&gt;</t>
  </si>
  <si>
    <t>&lt;em&gt;5.8.1.3.7. CC7&lt;/em&gt;</t>
  </si>
  <si>
    <t>&lt;em&gt;5.8.1.3.8. CC8&lt;/em&gt;</t>
  </si>
  <si>
    <t>&lt;em&gt;5.8.1.3.9. CC9&lt;/em&gt;</t>
  </si>
  <si>
    <t>&lt;em&gt;5.8.1.3.10. CC10&lt;/em&gt;</t>
  </si>
  <si>
    <t>&lt;em&gt;5.8.1.3.11. CC11&lt;/em&gt;</t>
  </si>
  <si>
    <t>&lt;em&gt;5.8.1.3.12. CC12&lt;/em&gt;</t>
  </si>
  <si>
    <t>&lt;em&gt;5.8.1.3.13. CC13&lt;/em&gt;</t>
  </si>
  <si>
    <t>&lt;em&gt;5.8.1.3.14. CC14&lt;/em&gt;</t>
  </si>
  <si>
    <t>&lt;em&gt;5.8.1.3.15. CC15&lt;/em&gt;</t>
  </si>
  <si>
    <t>&lt;em&gt;5.8.1.4.1. DD1&lt;/em&gt;</t>
  </si>
  <si>
    <t>&lt;em&gt;5.8.1.4.2. DD2&lt;/em&gt;</t>
  </si>
  <si>
    <t>&lt;em&gt;5.8.1.4.3. DD3&lt;/em&gt;</t>
  </si>
  <si>
    <t>&lt;em&gt;5.8.1.4.4. DD4&lt;/em&gt;</t>
  </si>
  <si>
    <t>&lt;em&gt;5.8.1.4.5. DD5&lt;/em&gt;</t>
  </si>
  <si>
    <t>&lt;em&gt;5.8.1.4.6. DD6&lt;/em&gt;</t>
  </si>
  <si>
    <t>&lt;em&gt;5.8.1.4.7. DD7&lt;/em&gt;</t>
  </si>
  <si>
    <t>&lt;em&gt;5.8.1.4.8. DD8&lt;/em&gt;</t>
  </si>
  <si>
    <t>&lt;em&gt;5.8.1.4.9. DD9&lt;/em&gt;</t>
  </si>
  <si>
    <t>&lt;em&gt;5.8.1.4.10. DD10&lt;/em&gt;</t>
  </si>
  <si>
    <t>&lt;em&gt;5.8.1.4.11. DD11&lt;/em&gt;</t>
  </si>
  <si>
    <t>&lt;em&gt;5.8.1.4.12. DD12&lt;/em&gt;</t>
  </si>
  <si>
    <t>&lt;em&gt;5.8.1.4.13. DD13&lt;/em&gt;</t>
  </si>
  <si>
    <t>&lt;em&gt;5.8.1.4.14. DD14&lt;/em&gt;</t>
  </si>
  <si>
    <t>&lt;em&gt;5.8.1.4.15. DD15&lt;/em&gt;</t>
  </si>
  <si>
    <t>&lt;em&gt;5.8.1.5.1. EE1&lt;/em&gt;</t>
  </si>
  <si>
    <t>&lt;em&gt;5.8.1.5.2. EE2&lt;/em&gt;</t>
  </si>
  <si>
    <t>&lt;em&gt;5.8.1.5.3. EE3&lt;/em&gt;</t>
  </si>
  <si>
    <t>&lt;em&gt;5.8.1.5.4. EE4&lt;/em&gt;</t>
  </si>
  <si>
    <t>&lt;em&gt;5.8.1.5.5. EE5&lt;/em&gt;</t>
  </si>
  <si>
    <t>&lt;em&gt;5.8.1.5.6. EE6&lt;/em&gt;</t>
  </si>
  <si>
    <t>&lt;em&gt;5.8.1.5.7. EE7&lt;/em&gt;</t>
  </si>
  <si>
    <t>&lt;em&gt;5.8.1.5.8. EE8&lt;/em&gt;</t>
  </si>
  <si>
    <t>&lt;em&gt;5.8.1.5.9. EE9&lt;/em&gt;</t>
  </si>
  <si>
    <t>&lt;em&gt;5.8.1.5.10. EE10&lt;/em&gt;</t>
  </si>
  <si>
    <t>&lt;em&gt;5.8.1.5.11. EE11&lt;/em&gt;</t>
  </si>
  <si>
    <t>&lt;em&gt;5.8.1.5.12. EE12&lt;/em&gt;</t>
  </si>
  <si>
    <t>&lt;em&gt;5.8.1.5.13. EE13&lt;/em&gt;</t>
  </si>
  <si>
    <t>&lt;em&gt;5.8.1.5.14. EE14&lt;/em&gt;</t>
  </si>
  <si>
    <t>&lt;em&gt;5.8.1.5.15. EE15&lt;/em&gt;</t>
  </si>
  <si>
    <t>&lt;em&gt;5.8.1.6.1. FF1&lt;/em&gt;</t>
  </si>
  <si>
    <t>&lt;em&gt;5.8.1.6.2. FF2&lt;/em&gt;</t>
  </si>
  <si>
    <t>&lt;em&gt;5.8.1.6.3. FF3&lt;/em&gt;</t>
  </si>
  <si>
    <t>&lt;em&gt;5.8.1.6.4. FF4&lt;/em&gt;</t>
  </si>
  <si>
    <t>&lt;em&gt;5.8.1.6.5. FF5&lt;/em&gt;</t>
  </si>
  <si>
    <t>&lt;em&gt;5.8.1.6.6. FF6&lt;/em&gt;</t>
  </si>
  <si>
    <t>&lt;em&gt;5.8.1.6.7. FF7&lt;/em&gt;</t>
  </si>
  <si>
    <t>&lt;em&gt;5.8.1.6.8. FF8&lt;/em&gt;</t>
  </si>
  <si>
    <t>&lt;em&gt;5.8.1.6.9. FF9&lt;/em&gt;</t>
  </si>
  <si>
    <t>&lt;em&gt;5.8.1.6.10. FF10&lt;/em&gt;</t>
  </si>
  <si>
    <t>&lt;em&gt;5.8.1.6.11. FF11&lt;/em&gt;</t>
  </si>
  <si>
    <t>&lt;em&gt;5.8.1.6.12. FF12&lt;/em&gt;</t>
  </si>
  <si>
    <t>&lt;em&gt;5.8.1.6.13. FF13&lt;/em&gt;</t>
  </si>
  <si>
    <t>&lt;em&gt;5.8.1.6.14. FF14&lt;/em&gt;</t>
  </si>
  <si>
    <t>&lt;em&gt;5.8.1.6.15. FF15&lt;/em&gt;</t>
  </si>
  <si>
    <t>&lt;em&gt;5.8.1.7.1. GG1&lt;/em&gt;</t>
  </si>
  <si>
    <t>&lt;em&gt;5.8.1.7.2. GG2&lt;/em&gt;</t>
  </si>
  <si>
    <t>&lt;em&gt;5.8.1.7.3. GG3&lt;/em&gt;</t>
  </si>
  <si>
    <t>&lt;em&gt;5.8.1.7.4. GG4&lt;/em&gt;</t>
  </si>
  <si>
    <t>&lt;em&gt;5.8.1.7.5. GG5&lt;/em&gt;</t>
  </si>
  <si>
    <t>&lt;em&gt;5.8.1.7.6. GG6&lt;/em&gt;</t>
  </si>
  <si>
    <t>&lt;em&gt;5.8.1.7.7. GG7&lt;/em&gt;</t>
  </si>
  <si>
    <t>&lt;em&gt;5.8.1.7.8. GG8&lt;/em&gt;</t>
  </si>
  <si>
    <t>&lt;em&gt;5.8.1.7.9. GG9&lt;/em&gt;</t>
  </si>
  <si>
    <t>&lt;em&gt;5.8.1.7.10. GG10&lt;/em&gt;</t>
  </si>
  <si>
    <t>&lt;em&gt;5.8.1.7.11. GG11&lt;/em&gt;</t>
  </si>
  <si>
    <t>&lt;em&gt;5.8.1.7.12. GG12&lt;/em&gt;</t>
  </si>
  <si>
    <t>&lt;em&gt;5.8.1.7.13. GG13&lt;/em&gt;</t>
  </si>
  <si>
    <t>&lt;em&gt;5.8.1.7.14. GG14&lt;/em&gt;</t>
  </si>
  <si>
    <t>&lt;em&gt;5.8.1.7.15. GG15&lt;/em&gt;</t>
  </si>
  <si>
    <t>&lt;strong&gt;&lt;em&gt;5.8.2. Canada&lt;/em&gt;&lt;/strong&gt;</t>
  </si>
  <si>
    <t>&lt;em&gt;5.8.2.1.1. AA1&lt;/em&gt;</t>
  </si>
  <si>
    <t>&lt;em&gt;5.8.2.1.2. AA2&lt;/em&gt;</t>
  </si>
  <si>
    <t>&lt;em&gt;5.8.2.1.3. AA3&lt;/em&gt;</t>
  </si>
  <si>
    <t>&lt;em&gt;5.8.2.1.4. AA4&lt;/em&gt;</t>
  </si>
  <si>
    <t>&lt;em&gt;5.8.2.1.5. AA5&lt;/em&gt;</t>
  </si>
  <si>
    <t>&lt;em&gt;5.8.2.1.6. AA6&lt;/em&gt;</t>
  </si>
  <si>
    <t>&lt;em&gt;5.8.2.1.7. AA7&lt;/em&gt;</t>
  </si>
  <si>
    <t>&lt;em&gt;5.8.2.1.8. AA8&lt;/em&gt;</t>
  </si>
  <si>
    <t>&lt;em&gt;5.8.2.1.9. AA9&lt;/em&gt;</t>
  </si>
  <si>
    <t>&lt;em&gt;5.8.2.1.10. AA10&lt;/em&gt;</t>
  </si>
  <si>
    <t>&lt;em&gt;5.8.2.1.11. AA11&lt;/em&gt;</t>
  </si>
  <si>
    <t>&lt;em&gt;5.8.2.1.12. AA12&lt;/em&gt;</t>
  </si>
  <si>
    <t>&lt;em&gt;5.8.2.1.13. AA13&lt;/em&gt;</t>
  </si>
  <si>
    <t>&lt;em&gt;5.8.2.1.14. AA14&lt;/em&gt;</t>
  </si>
  <si>
    <t>&lt;em&gt;5.8.2.1.15. AA15&lt;/em&gt;</t>
  </si>
  <si>
    <t>&lt;em&gt;5.8.2.2.1. BB1&lt;/em&gt;</t>
  </si>
  <si>
    <t>&lt;em&gt;5.8.2.2.2. BB2&lt;/em&gt;</t>
  </si>
  <si>
    <t>&lt;em&gt;5.8.2.2.3. BB3&lt;/em&gt;</t>
  </si>
  <si>
    <t>&lt;em&gt;5.8.2.2.4. BB4&lt;/em&gt;</t>
  </si>
  <si>
    <t>&lt;em&gt;5.8.2.2.5. BB5&lt;/em&gt;</t>
  </si>
  <si>
    <t>&lt;em&gt;5.8.2.2.6. BB6&lt;/em&gt;</t>
  </si>
  <si>
    <t>&lt;em&gt;5.8.2.2.7. BB7&lt;/em&gt;</t>
  </si>
  <si>
    <t>&lt;em&gt;5.8.2.2.8. BB8&lt;/em&gt;</t>
  </si>
  <si>
    <t>&lt;em&gt;5.8.2.2.9. BB9&lt;/em&gt;</t>
  </si>
  <si>
    <t>&lt;em&gt;5.8.2.2.10. BB10&lt;/em&gt;</t>
  </si>
  <si>
    <t>&lt;em&gt;5.8.2.2.11. BB11&lt;/em&gt;</t>
  </si>
  <si>
    <t>&lt;em&gt;5.8.2.2.12. BB12&lt;/em&gt;</t>
  </si>
  <si>
    <t>&lt;em&gt;5.8.2.2.13. BB13&lt;/em&gt;</t>
  </si>
  <si>
    <t>&lt;em&gt;5.8.2.2.14. BB14&lt;/em&gt;</t>
  </si>
  <si>
    <t>&lt;em&gt;5.8.2.2.15. BB15&lt;/em&gt;</t>
  </si>
  <si>
    <t>&lt;em&gt;5.8.2.3.1. CC1&lt;/em&gt;</t>
  </si>
  <si>
    <t>&lt;em&gt;5.8.2.3.2. CC2&lt;/em&gt;</t>
  </si>
  <si>
    <t>&lt;em&gt;5.8.2.3.3. CC3&lt;/em&gt;</t>
  </si>
  <si>
    <t>&lt;em&gt;5.8.2.3.4. CC4&lt;/em&gt;</t>
  </si>
  <si>
    <t>&lt;em&gt;5.8.2.3.5. CC5&lt;/em&gt;</t>
  </si>
  <si>
    <t>&lt;em&gt;5.8.2.3.6. CC6&lt;/em&gt;</t>
  </si>
  <si>
    <t>&lt;em&gt;5.8.2.3.7. CC7&lt;/em&gt;</t>
  </si>
  <si>
    <t>&lt;em&gt;5.8.2.3.8. CC8&lt;/em&gt;</t>
  </si>
  <si>
    <t>&lt;em&gt;5.8.2.3.9. CC9&lt;/em&gt;</t>
  </si>
  <si>
    <t>&lt;em&gt;5.8.2.3.10. CC10&lt;/em&gt;</t>
  </si>
  <si>
    <t>&lt;em&gt;5.8.2.3.11. CC11&lt;/em&gt;</t>
  </si>
  <si>
    <t>&lt;em&gt;5.8.2.3.12. CC12&lt;/em&gt;</t>
  </si>
  <si>
    <t>&lt;em&gt;5.8.2.3.13. CC13&lt;/em&gt;</t>
  </si>
  <si>
    <t>&lt;em&gt;5.8.2.3.14. CC14&lt;/em&gt;</t>
  </si>
  <si>
    <t>&lt;em&gt;5.8.2.3.15. CC15&lt;/em&gt;</t>
  </si>
  <si>
    <t>&lt;em&gt;5.8.2.4.1. DD1&lt;/em&gt;</t>
  </si>
  <si>
    <t>&lt;em&gt;5.8.2.4.2. DD2&lt;/em&gt;</t>
  </si>
  <si>
    <t>&lt;em&gt;5.8.2.4.3. DD3&lt;/em&gt;</t>
  </si>
  <si>
    <t>&lt;em&gt;5.8.2.4.4. DD4&lt;/em&gt;</t>
  </si>
  <si>
    <t>&lt;em&gt;5.8.2.4.5. DD5&lt;/em&gt;</t>
  </si>
  <si>
    <t>&lt;em&gt;5.8.2.4.6. DD6&lt;/em&gt;</t>
  </si>
  <si>
    <t>&lt;em&gt;5.8.2.4.7. DD7&lt;/em&gt;</t>
  </si>
  <si>
    <t>&lt;em&gt;5.8.2.4.8. DD8&lt;/em&gt;</t>
  </si>
  <si>
    <t>&lt;em&gt;5.8.2.4.9. DD9&lt;/em&gt;</t>
  </si>
  <si>
    <t>&lt;em&gt;5.8.2.4.10. DD10&lt;/em&gt;</t>
  </si>
  <si>
    <t>&lt;em&gt;5.8.2.4.11. DD11&lt;/em&gt;</t>
  </si>
  <si>
    <t>&lt;em&gt;5.8.2.4.12. DD12&lt;/em&gt;</t>
  </si>
  <si>
    <t>&lt;em&gt;5.8.2.4.13. DD13&lt;/em&gt;</t>
  </si>
  <si>
    <t>&lt;em&gt;5.8.2.4.14. DD14&lt;/em&gt;</t>
  </si>
  <si>
    <t>&lt;em&gt;5.8.2.4.15. DD15&lt;/em&gt;</t>
  </si>
  <si>
    <t>&lt;em&gt;5.8.2.5.1. EE1&lt;/em&gt;</t>
  </si>
  <si>
    <t>&lt;em&gt;5.8.2.5.2. EE2&lt;/em&gt;</t>
  </si>
  <si>
    <t>&lt;em&gt;5.8.2.5.3. EE3&lt;/em&gt;</t>
  </si>
  <si>
    <t>&lt;em&gt;5.8.2.5.4. EE4&lt;/em&gt;</t>
  </si>
  <si>
    <t>&lt;em&gt;5.8.2.5.5. EE5&lt;/em&gt;</t>
  </si>
  <si>
    <t>&lt;em&gt;5.8.2.5.6. EE6&lt;/em&gt;</t>
  </si>
  <si>
    <t>&lt;em&gt;5.8.2.5.7. EE7&lt;/em&gt;</t>
  </si>
  <si>
    <t>&lt;em&gt;5.8.2.5.8. EE8&lt;/em&gt;</t>
  </si>
  <si>
    <t>&lt;em&gt;5.8.2.5.9. EE9&lt;/em&gt;</t>
  </si>
  <si>
    <t>&lt;em&gt;5.8.2.5.10. EE10&lt;/em&gt;</t>
  </si>
  <si>
    <t>&lt;em&gt;5.8.2.5.11. EE11&lt;/em&gt;</t>
  </si>
  <si>
    <t>&lt;em&gt;5.8.2.5.12. EE12&lt;/em&gt;</t>
  </si>
  <si>
    <t>&lt;em&gt;5.8.2.5.13. EE13&lt;/em&gt;</t>
  </si>
  <si>
    <t>&lt;em&gt;5.8.2.5.14. EE14&lt;/em&gt;</t>
  </si>
  <si>
    <t>&lt;em&gt;5.8.2.5.15. EE15&lt;/em&gt;</t>
  </si>
  <si>
    <t>&lt;em&gt;5.8.2.6.1. FF1&lt;/em&gt;</t>
  </si>
  <si>
    <t>&lt;em&gt;5.8.2.6.2. FF2&lt;/em&gt;</t>
  </si>
  <si>
    <t>&lt;em&gt;5.8.2.6.3. FF3&lt;/em&gt;</t>
  </si>
  <si>
    <t>&lt;em&gt;5.8.2.6.4. FF4&lt;/em&gt;</t>
  </si>
  <si>
    <t>&lt;em&gt;5.8.2.6.5. FF5&lt;/em&gt;</t>
  </si>
  <si>
    <t>&lt;em&gt;5.8.2.6.6. FF6&lt;/em&gt;</t>
  </si>
  <si>
    <t>&lt;em&gt;5.8.2.6.7. FF7&lt;/em&gt;</t>
  </si>
  <si>
    <t>&lt;em&gt;5.8.2.6.8. FF8&lt;/em&gt;</t>
  </si>
  <si>
    <t>&lt;em&gt;5.8.2.6.9. FF9&lt;/em&gt;</t>
  </si>
  <si>
    <t>&lt;em&gt;5.8.2.6.10. FF10&lt;/em&gt;</t>
  </si>
  <si>
    <t>&lt;em&gt;5.8.2.6.11. FF11&lt;/em&gt;</t>
  </si>
  <si>
    <t>&lt;em&gt;5.8.2.6.12. FF12&lt;/em&gt;</t>
  </si>
  <si>
    <t>&lt;em&gt;5.8.2.6.13. FF13&lt;/em&gt;</t>
  </si>
  <si>
    <t>&lt;em&gt;5.8.2.6.14. FF14&lt;/em&gt;</t>
  </si>
  <si>
    <t>&lt;em&gt;5.8.2.6.15. FF15&lt;/em&gt;</t>
  </si>
  <si>
    <t>&lt;em&gt;5.8.2.7.1. GG1&lt;/em&gt;</t>
  </si>
  <si>
    <t>&lt;em&gt;5.8.2.7.2. GG2&lt;/em&gt;</t>
  </si>
  <si>
    <t>&lt;em&gt;5.8.2.7.3. GG3&lt;/em&gt;</t>
  </si>
  <si>
    <t>&lt;em&gt;5.8.2.7.4. GG4&lt;/em&gt;</t>
  </si>
  <si>
    <t>&lt;em&gt;5.8.2.7.5. GG5&lt;/em&gt;</t>
  </si>
  <si>
    <t>&lt;em&gt;5.8.2.7.6. GG6&lt;/em&gt;</t>
  </si>
  <si>
    <t>&lt;em&gt;5.8.2.7.7. GG7&lt;/em&gt;</t>
  </si>
  <si>
    <t>&lt;em&gt;5.8.2.7.8. GG8&lt;/em&gt;</t>
  </si>
  <si>
    <t>&lt;em&gt;5.8.2.7.9. GG9&lt;/em&gt;</t>
  </si>
  <si>
    <t>&lt;em&gt;5.8.2.7.10. GG10&lt;/em&gt;</t>
  </si>
  <si>
    <t>&lt;em&gt;5.8.2.7.11. GG11&lt;/em&gt;</t>
  </si>
  <si>
    <t>&lt;em&gt;5.8.2.7.12. GG12&lt;/em&gt;</t>
  </si>
  <si>
    <t>&lt;em&gt;5.8.2.7.13. GG13&lt;/em&gt;</t>
  </si>
  <si>
    <t>&lt;em&gt;5.8.2.7.14. GG14&lt;/em&gt;</t>
  </si>
  <si>
    <t>&lt;em&gt;5.8.2.7.15. GG15&lt;/em&gt;</t>
  </si>
  <si>
    <t>&lt;strong&gt;&lt;em&gt;5.8.3. Mexico&lt;/em&gt;&lt;/strong&gt;</t>
  </si>
  <si>
    <t>&lt;em&gt;5.8.3.1.1. AA1&lt;/em&gt;</t>
  </si>
  <si>
    <t>&lt;em&gt;5.8.3.1.2. AA2&lt;/em&gt;</t>
  </si>
  <si>
    <t>&lt;em&gt;5.8.3.1.3. AA3&lt;/em&gt;</t>
  </si>
  <si>
    <t>&lt;em&gt;5.8.3.1.4. AA4&lt;/em&gt;</t>
  </si>
  <si>
    <t>&lt;em&gt;5.8.3.1.5. AA5&lt;/em&gt;</t>
  </si>
  <si>
    <t>&lt;em&gt;5.8.3.1.6. AA6&lt;/em&gt;</t>
  </si>
  <si>
    <t>&lt;em&gt;5.8.3.1.7. AA7&lt;/em&gt;</t>
  </si>
  <si>
    <t>&lt;em&gt;5.8.3.1.8. AA8&lt;/em&gt;</t>
  </si>
  <si>
    <t>&lt;em&gt;5.8.3.1.9. AA9&lt;/em&gt;</t>
  </si>
  <si>
    <t>&lt;em&gt;5.8.3.1.10. AA10&lt;/em&gt;</t>
  </si>
  <si>
    <t>&lt;em&gt;5.8.3.1.11. AA11&lt;/em&gt;</t>
  </si>
  <si>
    <t>&lt;em&gt;5.8.3.1.12. AA12&lt;/em&gt;</t>
  </si>
  <si>
    <t>&lt;em&gt;5.8.3.1.13. AA13&lt;/em&gt;</t>
  </si>
  <si>
    <t>&lt;em&gt;5.8.3.1.14. AA14&lt;/em&gt;</t>
  </si>
  <si>
    <t>&lt;em&gt;5.8.3.1.15. AA15&lt;/em&gt;</t>
  </si>
  <si>
    <t>&lt;em&gt;5.8.3.2.1. BB1&lt;/em&gt;</t>
  </si>
  <si>
    <t>&lt;em&gt;5.8.3.2.2. BB2&lt;/em&gt;</t>
  </si>
  <si>
    <t>&lt;em&gt;5.8.3.2.3. BB3&lt;/em&gt;</t>
  </si>
  <si>
    <t>&lt;em&gt;5.8.3.2.4. BB4&lt;/em&gt;</t>
  </si>
  <si>
    <t>&lt;em&gt;5.8.3.2.5. BB5&lt;/em&gt;</t>
  </si>
  <si>
    <t>&lt;em&gt;5.8.3.2.6. BB6&lt;/em&gt;</t>
  </si>
  <si>
    <t>&lt;em&gt;5.8.3.2.7. BB7&lt;/em&gt;</t>
  </si>
  <si>
    <t>&lt;em&gt;5.8.3.2.8. BB8&lt;/em&gt;</t>
  </si>
  <si>
    <t>&lt;em&gt;5.8.3.2.9. BB9&lt;/em&gt;</t>
  </si>
  <si>
    <t>&lt;em&gt;5.8.3.2.10. BB10&lt;/em&gt;</t>
  </si>
  <si>
    <t>&lt;em&gt;5.8.3.2.11. BB11&lt;/em&gt;</t>
  </si>
  <si>
    <t>&lt;em&gt;5.8.3.2.12. BB12&lt;/em&gt;</t>
  </si>
  <si>
    <t>&lt;em&gt;5.8.3.2.13. BB13&lt;/em&gt;</t>
  </si>
  <si>
    <t>&lt;em&gt;5.8.3.2.14. BB14&lt;/em&gt;</t>
  </si>
  <si>
    <t>&lt;em&gt;5.8.3.2.15. BB15&lt;/em&gt;</t>
  </si>
  <si>
    <t>&lt;em&gt;5.8.3.3.1. CC1&lt;/em&gt;</t>
  </si>
  <si>
    <t>&lt;em&gt;5.8.3.3.2. CC2&lt;/em&gt;</t>
  </si>
  <si>
    <t>&lt;em&gt;5.8.3.3.3. CC3&lt;/em&gt;</t>
  </si>
  <si>
    <t>&lt;em&gt;5.8.3.3.4. CC4&lt;/em&gt;</t>
  </si>
  <si>
    <t>&lt;em&gt;5.8.3.3.5. CC5&lt;/em&gt;</t>
  </si>
  <si>
    <t>&lt;em&gt;5.8.3.3.6. CC6&lt;/em&gt;</t>
  </si>
  <si>
    <t>&lt;em&gt;5.8.3.3.7. CC7&lt;/em&gt;</t>
  </si>
  <si>
    <t>&lt;em&gt;5.8.3.3.8. CC8&lt;/em&gt;</t>
  </si>
  <si>
    <t>&lt;em&gt;5.8.3.3.9. CC9&lt;/em&gt;</t>
  </si>
  <si>
    <t>&lt;em&gt;5.8.3.3.10. CC10&lt;/em&gt;</t>
  </si>
  <si>
    <t>&lt;em&gt;5.8.3.3.11. CC11&lt;/em&gt;</t>
  </si>
  <si>
    <t>&lt;em&gt;5.8.3.3.12. CC12&lt;/em&gt;</t>
  </si>
  <si>
    <t>&lt;em&gt;5.8.3.3.13. CC13&lt;/em&gt;</t>
  </si>
  <si>
    <t>&lt;em&gt;5.8.3.3.14. CC14&lt;/em&gt;</t>
  </si>
  <si>
    <t>&lt;em&gt;5.8.3.3.15. CC15&lt;/em&gt;</t>
  </si>
  <si>
    <t>&lt;em&gt;5.8.3.4.1. DD1&lt;/em&gt;</t>
  </si>
  <si>
    <t>&lt;em&gt;5.8.3.4.2. DD2&lt;/em&gt;</t>
  </si>
  <si>
    <t>&lt;em&gt;5.8.3.4.3. DD3&lt;/em&gt;</t>
  </si>
  <si>
    <t>&lt;em&gt;5.8.3.4.4. DD4&lt;/em&gt;</t>
  </si>
  <si>
    <t>&lt;em&gt;5.8.3.4.5. DD5&lt;/em&gt;</t>
  </si>
  <si>
    <t>&lt;em&gt;5.8.3.4.6. DD6&lt;/em&gt;</t>
  </si>
  <si>
    <t>&lt;em&gt;5.8.3.4.7. DD7&lt;/em&gt;</t>
  </si>
  <si>
    <t>&lt;em&gt;5.8.3.4.8. DD8&lt;/em&gt;</t>
  </si>
  <si>
    <t>&lt;em&gt;5.8.3.4.9. DD9&lt;/em&gt;</t>
  </si>
  <si>
    <t>&lt;em&gt;5.8.3.4.10. DD10&lt;/em&gt;</t>
  </si>
  <si>
    <t>&lt;em&gt;5.8.3.4.11. DD11&lt;/em&gt;</t>
  </si>
  <si>
    <t>&lt;em&gt;5.8.3.4.12. DD12&lt;/em&gt;</t>
  </si>
  <si>
    <t>&lt;em&gt;5.8.3.4.13. DD13&lt;/em&gt;</t>
  </si>
  <si>
    <t>&lt;em&gt;5.8.3.4.14. DD14&lt;/em&gt;</t>
  </si>
  <si>
    <t>&lt;em&gt;5.8.3.4.15. DD15&lt;/em&gt;</t>
  </si>
  <si>
    <t>&lt;em&gt;5.8.3.5.1. EE1&lt;/em&gt;</t>
  </si>
  <si>
    <t>&lt;em&gt;5.8.3.5.2. EE2&lt;/em&gt;</t>
  </si>
  <si>
    <t>&lt;em&gt;5.8.3.5.3. EE3&lt;/em&gt;</t>
  </si>
  <si>
    <t>&lt;em&gt;5.8.3.5.4. EE4&lt;/em&gt;</t>
  </si>
  <si>
    <t>&lt;em&gt;5.8.3.5.5. EE5&lt;/em&gt;</t>
  </si>
  <si>
    <t>&lt;em&gt;5.8.3.5.6. EE6&lt;/em&gt;</t>
  </si>
  <si>
    <t>&lt;em&gt;5.8.3.5.7. EE7&lt;/em&gt;</t>
  </si>
  <si>
    <t>&lt;em&gt;5.8.3.5.8. EE8&lt;/em&gt;</t>
  </si>
  <si>
    <t>&lt;em&gt;5.8.3.5.9. EE9&lt;/em&gt;</t>
  </si>
  <si>
    <t>&lt;em&gt;5.8.3.5.10. EE10&lt;/em&gt;</t>
  </si>
  <si>
    <t>&lt;em&gt;5.8.3.5.11. EE11&lt;/em&gt;</t>
  </si>
  <si>
    <t>&lt;em&gt;5.8.3.5.12. EE12&lt;/em&gt;</t>
  </si>
  <si>
    <t>&lt;em&gt;5.8.3.5.13. EE13&lt;/em&gt;</t>
  </si>
  <si>
    <t>&lt;em&gt;5.8.3.5.14. EE14&lt;/em&gt;</t>
  </si>
  <si>
    <t>&lt;em&gt;5.8.3.5.15. EE15&lt;/em&gt;</t>
  </si>
  <si>
    <t>&lt;em&gt;5.8.3.6.1. FF1&lt;/em&gt;</t>
  </si>
  <si>
    <t>&lt;em&gt;5.8.3.6.2. FF2&lt;/em&gt;</t>
  </si>
  <si>
    <t>&lt;em&gt;5.8.3.6.3. FF3&lt;/em&gt;</t>
  </si>
  <si>
    <t>&lt;em&gt;5.8.3.6.4. FF4&lt;/em&gt;</t>
  </si>
  <si>
    <t>&lt;em&gt;5.8.3.6.5. FF5&lt;/em&gt;</t>
  </si>
  <si>
    <t>&lt;em&gt;5.8.3.6.6. FF6&lt;/em&gt;</t>
  </si>
  <si>
    <t>&lt;em&gt;5.8.3.6.7. FF7&lt;/em&gt;</t>
  </si>
  <si>
    <t>&lt;em&gt;5.8.3.6.8. FF8&lt;/em&gt;</t>
  </si>
  <si>
    <t>&lt;em&gt;5.8.3.6.9. FF9&lt;/em&gt;</t>
  </si>
  <si>
    <t>&lt;em&gt;5.8.3.6.10. FF10&lt;/em&gt;</t>
  </si>
  <si>
    <t>&lt;em&gt;5.8.3.6.11. FF11&lt;/em&gt;</t>
  </si>
  <si>
    <t>&lt;em&gt;5.8.3.6.12. FF12&lt;/em&gt;</t>
  </si>
  <si>
    <t>&lt;em&gt;5.8.3.6.13. FF13&lt;/em&gt;</t>
  </si>
  <si>
    <t>&lt;em&gt;5.8.3.6.14. FF14&lt;/em&gt;</t>
  </si>
  <si>
    <t>&lt;em&gt;5.8.3.6.15. FF15&lt;/em&gt;</t>
  </si>
  <si>
    <t>&lt;em&gt;5.8.3.7.1. GG1&lt;/em&gt;</t>
  </si>
  <si>
    <t>&lt;em&gt;5.8.3.7.2. GG2&lt;/em&gt;</t>
  </si>
  <si>
    <t>&lt;em&gt;5.8.3.7.3. GG3&lt;/em&gt;</t>
  </si>
  <si>
    <t>&lt;em&gt;5.8.3.7.4. GG4&lt;/em&gt;</t>
  </si>
  <si>
    <t>&lt;em&gt;5.8.3.7.5. GG5&lt;/em&gt;</t>
  </si>
  <si>
    <t>&lt;em&gt;5.8.3.7.6. GG6&lt;/em&gt;</t>
  </si>
  <si>
    <t>&lt;em&gt;5.8.3.7.7. GG7&lt;/em&gt;</t>
  </si>
  <si>
    <t>&lt;em&gt;5.8.3.7.8. GG8&lt;/em&gt;</t>
  </si>
  <si>
    <t>&lt;em&gt;5.8.3.7.9. GG9&lt;/em&gt;</t>
  </si>
  <si>
    <t>&lt;em&gt;5.8.3.7.10. GG10&lt;/em&gt;</t>
  </si>
  <si>
    <t>&lt;em&gt;5.8.3.7.11. GG11&lt;/em&gt;</t>
  </si>
  <si>
    <t>&lt;em&gt;5.8.3.7.12. GG12&lt;/em&gt;</t>
  </si>
  <si>
    <t>&lt;em&gt;5.8.3.7.13. GG13&lt;/em&gt;</t>
  </si>
  <si>
    <t>&lt;em&gt;5.8.3.7.14. GG14&lt;/em&gt;</t>
  </si>
  <si>
    <t>&lt;em&gt;5.8.3.7.15. GG15&lt;/em&gt;</t>
  </si>
  <si>
    <t>&lt;strong&gt;&lt;em&gt;6.8.1. United Kingdom&lt;/em&gt;&lt;/strong&gt;</t>
  </si>
  <si>
    <t>&lt;strong&gt;&lt;em&gt;6.8.2. France&lt;/em&gt;&lt;/strong&gt;</t>
  </si>
  <si>
    <t>&lt;strong&gt;&lt;em&gt;6.8.3. Germany&lt;/em&gt;&lt;/strong&gt;</t>
  </si>
  <si>
    <t>&lt;strong&gt;&lt;em&gt;6.8.4. Italy&lt;/em&gt;&lt;/strong&gt;</t>
  </si>
  <si>
    <t>&lt;strong&gt;&lt;em&gt;6.8.5. Spain&lt;/em&gt;&lt;/strong&gt;</t>
  </si>
  <si>
    <t>&lt;strong&gt;&lt;em&gt;6.8.6. Sweden&lt;/em&gt;&lt;/strong&gt;</t>
  </si>
  <si>
    <t>&lt;strong&gt;&lt;em&gt;6.8.7. Austria&lt;/em&gt;&lt;/strong&gt;</t>
  </si>
  <si>
    <t>&lt;strong&gt;&lt;em&gt;6.8.8. Rest of Europe&lt;/em&gt;&lt;/strong&gt;</t>
  </si>
  <si>
    <t>&lt;strong&gt;&lt;em&gt;7.8.1. China&lt;/em&gt;&lt;/strong&gt;</t>
  </si>
  <si>
    <t>&lt;strong&gt;&lt;em&gt;7.8.2. S Korea&lt;/em&gt;&lt;/strong&gt;</t>
  </si>
  <si>
    <t>&lt;strong&gt;&lt;em&gt;7.8.3. Japan&lt;/em&gt;&lt;/strong&gt;</t>
  </si>
  <si>
    <t>&lt;strong&gt;&lt;em&gt;7.8.4. India&lt;/em&gt;&lt;/strong&gt;</t>
  </si>
  <si>
    <t>&lt;strong&gt;&lt;em&gt;7.8.5. Australia&lt;/em&gt;&lt;/strong&gt;</t>
  </si>
  <si>
    <t>&lt;strong&gt;&lt;em&gt;7.8.6. Indonesia&lt;/em&gt;&lt;/strong&gt;</t>
  </si>
  <si>
    <t>&lt;strong&gt;&lt;em&gt;7.8.7. Malaysia&lt;/em&gt;&lt;/strong&gt;</t>
  </si>
  <si>
    <t>&lt;strong&gt;&lt;em&gt;7.8.8. Vietnam&lt;/em&gt;&lt;/strong&gt;</t>
  </si>
  <si>
    <t>&lt;strong&gt;&lt;em&gt;7.8.9. Taiwan&lt;/em&gt;&lt;/strong&gt;</t>
  </si>
  <si>
    <t>&lt;strong&gt;&lt;em&gt;7.8.10. Rest of Asia Pacific&lt;/em&gt;&lt;/strong&gt;</t>
  </si>
  <si>
    <t>&lt;strong&gt;&lt;em&gt;8.8.1. South Africa&lt;/em&gt;&lt;/strong&gt;</t>
  </si>
  <si>
    <t>&lt;strong&gt;&lt;em&gt;8.8.2. GCC&lt;/em&gt;&lt;/strong&gt;</t>
  </si>
  <si>
    <t>&lt;strong&gt;&lt;em&gt;8.8.3. Nigeria&lt;/em&gt;&lt;/strong&gt;</t>
  </si>
  <si>
    <t>&lt;strong&gt;&lt;em&gt;8.8.4. Rest of ME&amp;amp;A&lt;/em&gt;&lt;/strong&gt;</t>
  </si>
  <si>
    <t>&lt;strong&gt;&lt;em&gt;9.8.1. Brazil&lt;/em&gt;&lt;/strong&gt;</t>
  </si>
  <si>
    <t>&lt;strong&gt;&lt;em&gt;9.8.2. Argentina&lt;/em&gt;&lt;/strong&gt;</t>
  </si>
  <si>
    <t>&lt;strong&gt;&lt;em&gt;9.8.3. Rest Of South America&lt;/em&gt;&lt;/strong&gt;</t>
  </si>
  <si>
    <t>&lt;em&gt;2.3.4. Revenue (2024)&lt;/em&gt;</t>
  </si>
  <si>
    <t>&lt;strong&gt;4. ABC Market: Global Market Size and Forecast by Segmentation by Demand and Supply Side (by Value in USD Million) 2024-2032&lt;/strong&gt;</t>
  </si>
  <si>
    <t>4.1. ABC Market Size and Forecast, by Segment1 (2024-2032)</t>
  </si>
  <si>
    <t>4.2. ABC Market Size and Forecast, by Segment2 (2024-2032)</t>
  </si>
  <si>
    <t>4.3. ABC Market Size and Forecast, by Segment3 (2024-2032)</t>
  </si>
  <si>
    <t>4.4. ABC Market Size and Forecast, by Segment4 (2024-2032)</t>
  </si>
  <si>
    <t>4.5. ABC Market Size and Forecast, by Segment5 (2024-2032)</t>
  </si>
  <si>
    <t>4.6. ABC Market Size and Forecast, by Segment6 (2024-2032)</t>
  </si>
  <si>
    <t>4.7. ABC Market Size and Forecast, by Segment7 (2024-2032)</t>
  </si>
  <si>
    <t>4.8. ABC Market Size and Forecast, by Region (2024-2032)</t>
  </si>
  <si>
    <t>&lt;strong&gt;5. North America ABC Market Size and Forecast by Segmentation (by Value in USD Million) 2024-2032&lt;/strong&gt;</t>
  </si>
  <si>
    <t>5.1. North America ABC Market Size and Forecast, by Segment1 (2024-2032)</t>
  </si>
  <si>
    <t>5.2. North America ABC Market Size and Forecast, by Segment2 (2024-2032)</t>
  </si>
  <si>
    <t>5.3. North America ABC Market Size and Forecast, by Segment3 (2024-2032)</t>
  </si>
  <si>
    <t>5.4. North America ABC Market Size and Forecast, by Segment4 (2024-2032)</t>
  </si>
  <si>
    <t>5.5. North America ABC Market Size and Forecast, by Segment5 (2024-2032)</t>
  </si>
  <si>
    <t>5.6. North America ABC Market Size and Forecast, by Segment6 (2024-2032)</t>
  </si>
  <si>
    <t>5.7. North America ABC Market Size and Forecast, by Segment7 (2024-2032)</t>
  </si>
  <si>
    <t>5.8. North America ABC Market Size and Forecast, by Country (2024-2032)</t>
  </si>
  <si>
    <t>&lt;em&gt;5.8.1.1. United States ABC Market Size and Forecast, by Segment1 (2024-2032)&lt;/em&gt;</t>
  </si>
  <si>
    <t>&lt;em&gt;5.8.1.2. United States ABC Market Size and Forecast, by Segment2 (2024-2032)&lt;/em&gt;</t>
  </si>
  <si>
    <t>&lt;em&gt;5.8.1.3. United States ABC Market Size and Forecast, by Segment3 (2024-2032)&lt;/em&gt;</t>
  </si>
  <si>
    <t>&lt;em&gt;5.8.1.4. United States ABC Market Size and Forecast, by Segment4 (2024-2032)&lt;/em&gt;</t>
  </si>
  <si>
    <t>&lt;em&gt;5.8.1.5. United States ABC Market Size and Forecast, by Segment5 (2024-2032)&lt;/em&gt;</t>
  </si>
  <si>
    <t>&lt;em&gt;5.8.1.6. United States ABC Market Size and Forecast, by Segment6 (2024-2032)&lt;/em&gt;</t>
  </si>
  <si>
    <t>&lt;em&gt;5.8.1.7. United States ABC Market Size and Forecast, by Segment7 (2024-2032)&lt;/em&gt;</t>
  </si>
  <si>
    <t>&lt;em&gt;5.8.2.1. Canada ABC Market Size and Forecast, by Segment1 (2024-2032)&lt;/em&gt;</t>
  </si>
  <si>
    <t>&lt;em&gt;5.8.2.2. Canada ABC Market Size and Forecast, by Segment2 (2024-2032)&lt;/em&gt;</t>
  </si>
  <si>
    <t>&lt;em&gt;5.8.2.3. Canada ABC Market Size and Forecast, by Segment3 (2024-2032)&lt;/em&gt;</t>
  </si>
  <si>
    <t>&lt;em&gt;5.8.2.4. Canada ABC Market Size and Forecast, by Segment4 (2024-2032)&lt;/em&gt;</t>
  </si>
  <si>
    <t>&lt;em&gt;5.8.2.5. Canada ABC Market Size and Forecast, by Segment5 (2024-2032)&lt;/em&gt;</t>
  </si>
  <si>
    <t>&lt;em&gt;5.8.2.6. Canada ABC Market Size and Forecast, by Segment6 (2024-2032)&lt;/em&gt;</t>
  </si>
  <si>
    <t>&lt;em&gt;5.8.2.7. Canada ABC Market Size and Forecast, by Segment7 (2024-2032)&lt;/em&gt;</t>
  </si>
  <si>
    <t>&lt;em&gt;5.8.3.1. Mexico ABC Market Size and Forecast, by Segment1 (2024-2032)&lt;/em&gt;</t>
  </si>
  <si>
    <t>&lt;em&gt;5.8.3.2. Mexico ABC Market Size and Forecast, by Segment2 (2024-2032)&lt;/em&gt;</t>
  </si>
  <si>
    <t>&lt;em&gt;5.8.3.3. Mexico ABC Market Size and Forecast, by Segment3 (2024-2032)&lt;/em&gt;</t>
  </si>
  <si>
    <t>&lt;em&gt;5.8.3.4. Mexico ABC Market Size and Forecast, by Segment4 (2024-2032)&lt;/em&gt;</t>
  </si>
  <si>
    <t>&lt;em&gt;5.8.3.5. Mexico ABC Market Size and Forecast, by Segment5 (2024-2032)&lt;/em&gt;</t>
  </si>
  <si>
    <t>&lt;em&gt;5.8.3.6. Mexico ABC Market Size and Forecast, by Segment6 (2024-2032)&lt;/em&gt;</t>
  </si>
  <si>
    <t>&lt;em&gt;5.8.3.7. Mexico ABC Market Size and Forecast, by Segment7 (2024-2032)&lt;/em&gt;</t>
  </si>
  <si>
    <t>&lt;strong&gt;6. Europe ABC Market Size and Forecast by Segmentation (by Value in USD Million) 2024-2032&lt;/strong&gt;</t>
  </si>
  <si>
    <t>6.1. Europe ABC Market Size and Forecast, by Segment1 (2024-2032)</t>
  </si>
  <si>
    <t>6.2. Europe ABC Market Size and Forecast, by Segment2 (2024-2032)</t>
  </si>
  <si>
    <t>6.3. Europe ABC Market Size and Forecast, by Segment3 (2024-2032)</t>
  </si>
  <si>
    <t>6.4. Europe ABC Market Size and Forecast, by Segment4 (2024-2032)</t>
  </si>
  <si>
    <t>6.5. Europe ABC Market Size and Forecast, by Segment5 (2024-2032)</t>
  </si>
  <si>
    <t>6.6. Europe ABC Market Size and Forecast, by Segment6 (2024-2032)</t>
  </si>
  <si>
    <t>6.7. Europe ABC Market Size and Forecast, by Segment7 (2024-2032)</t>
  </si>
  <si>
    <t>6.8. Europe ABC Market Size and Forecast, by Country (2024-2032)</t>
  </si>
  <si>
    <t>&lt;em&gt;6.8.1.1. United Kingdom ABC Market Size and Forecast, by Segment1 (2024-2032)&lt;/em&gt;</t>
  </si>
  <si>
    <t>&lt;em&gt;6.8.1.2. United Kingdom ABC Market Size and Forecast, by Segment2 (2024-2032)&lt;/em&gt;</t>
  </si>
  <si>
    <t>&lt;em&gt;6.8.1.3. United Kingdom ABC Market Size and Forecast, by Segment3 (2024-2032)&lt;/em&gt;</t>
  </si>
  <si>
    <t>&lt;em&gt;6.8.1.4. United Kingdom ABC Market Size and Forecast, by Segment4 (2024-2032)&lt;/em&gt;</t>
  </si>
  <si>
    <t>&lt;em&gt;6.8.1.5. United Kingdom ABC Market Size and Forecast, by Segment5 (2024-2032)&lt;/em&gt;</t>
  </si>
  <si>
    <t>&lt;em&gt;6.8.1.6. United Kingdom ABC Market Size and Forecast, by Segment6 (2024-2032)&lt;/em&gt;</t>
  </si>
  <si>
    <t>&lt;em&gt;6.8.1.7. United Kingdom ABC Market Size and Forecast, by Segment7 (2024-2032)&lt;/em&gt;</t>
  </si>
  <si>
    <t>&lt;em&gt;6.8.2.1. France ABC Market Size and Forecast, by Segment1 (2024-2032)&lt;/em&gt;</t>
  </si>
  <si>
    <t>&lt;em&gt;6.8.2.2. France ABC Market Size and Forecast, by Segment2 (2024-2032)&lt;/em&gt;</t>
  </si>
  <si>
    <t>&lt;em&gt;6.8.2.3. France ABC Market Size and Forecast, by Segment3 (2024-2032)&lt;/em&gt;</t>
  </si>
  <si>
    <t>&lt;em&gt;6.8.2.4. France ABC Market Size and Forecast, by Segment4 (2024-2032)&lt;/em&gt;</t>
  </si>
  <si>
    <t>&lt;em&gt;6.8.2.5. France ABC Market Size and Forecast, by Segment5 (2024-2032)&lt;/em&gt;</t>
  </si>
  <si>
    <t>&lt;em&gt;6.8.2.6. France ABC Market Size and Forecast, by Segment6 (2024-2032)&lt;/em&gt;</t>
  </si>
  <si>
    <t>&lt;em&gt;6.8.2.7. France ABC Market Size and Forecast, by Segment7 (2024-2032)&lt;/em&gt;</t>
  </si>
  <si>
    <t>&lt;em&gt;6.8.3.1. Germany ABC Market Size and Forecast, by Segment1 (2024-2032)&lt;/em&gt;</t>
  </si>
  <si>
    <t>&lt;em&gt;6.8.3.2. Germany ABC Market Size and Forecast, by Segment2 (2024-2032)&lt;/em&gt;</t>
  </si>
  <si>
    <t>&lt;em&gt;6.8.3.3. Germany ABC Market Size and Forecast, by Segment3 (2024-2032)&lt;/em&gt;</t>
  </si>
  <si>
    <t>&lt;em&gt;6.8.3.4. Germany ABC Market Size and Forecast, by Segment4 (2024-2032)&lt;/em&gt;</t>
  </si>
  <si>
    <t>&lt;em&gt;6.8.3.5. Germany ABC Market Size and Forecast, by Segment5 (2024-2032)&lt;/em&gt;</t>
  </si>
  <si>
    <t>&lt;em&gt;6.8.3.6. Germany ABC Market Size and Forecast, by Segment6 (2024-2032)&lt;/em&gt;</t>
  </si>
  <si>
    <t>&lt;em&gt;6.8.3.7. Germany ABC Market Size and Forecast, by Segment7 (2024-2032)&lt;/em&gt;</t>
  </si>
  <si>
    <t>&lt;em&gt;6.8.4.1. Italy ABC Market Size and Forecast, by Segment1 (2024-2032)&lt;/em&gt;</t>
  </si>
  <si>
    <t>&lt;em&gt;6.8.4.2. Italy ABC Market Size and Forecast, by Segment2 (2024-2032)&lt;/em&gt;</t>
  </si>
  <si>
    <t>&lt;em&gt;6.8.4.3. Italy ABC Market Size and Forecast, by Segment3 (2024-2032)&lt;/em&gt;</t>
  </si>
  <si>
    <t>&lt;em&gt;6.8.4.4. Italy ABC Market Size and Forecast, by Segment4 (2024-2032)&lt;/em&gt;</t>
  </si>
  <si>
    <t>&lt;em&gt;6.8.4.5. Italy ABC Market Size and Forecast, by Segment5 (2024-2032)&lt;/em&gt;</t>
  </si>
  <si>
    <t>&lt;em&gt;6.8.4.6. Italy ABC Market Size and Forecast, by Segment6 (2024-2032)&lt;/em&gt;</t>
  </si>
  <si>
    <t>&lt;em&gt;6.8.4.7. Italy ABC Market Size and Forecast, by Segment7 (2024-2032)&lt;/em&gt;</t>
  </si>
  <si>
    <t>&lt;em&gt;6.8.5.1. Spain ABC Market Size and Forecast, by Segment1 (2024-2032)&lt;/em&gt;</t>
  </si>
  <si>
    <t>&lt;em&gt;6.8.5.2. Spain ABC Market Size and Forecast, by Segment2 (2024-2032)&lt;/em&gt;</t>
  </si>
  <si>
    <t>&lt;em&gt;6.8.5.3. Spain ABC Market Size and Forecast, by Segment3 (2024-2032)&lt;/em&gt;</t>
  </si>
  <si>
    <t>&lt;em&gt;6.8.5.4. Spain ABC Market Size and Forecast, by Segment4 (2024-2032)&lt;/em&gt;</t>
  </si>
  <si>
    <t>&lt;em&gt;6.8.5.5. Spain ABC Market Size and Forecast, by Segment5 (2024-2032)&lt;/em&gt;</t>
  </si>
  <si>
    <t>&lt;em&gt;6.8.5.6. Spain ABC Market Size and Forecast, by Segment6 (2024-2032)&lt;/em&gt;</t>
  </si>
  <si>
    <t>&lt;em&gt;6.8.5.7. Spain ABC Market Size and Forecast, by Segment7 (2024-2032)&lt;/em&gt;</t>
  </si>
  <si>
    <t>&lt;em&gt;6.8.6.1. Sweden ABC Market Size and Forecast, by Segment1 (2024-2032)&lt;/em&gt;</t>
  </si>
  <si>
    <t>&lt;em&gt;6.8.6.2. Sweden ABC Market Size and Forecast, by Segment2 (2024-2032)&lt;/em&gt;</t>
  </si>
  <si>
    <t>&lt;em&gt;6.8.6.3. Sweden ABC Market Size and Forecast, by Segment3 (2024-2032)&lt;/em&gt;</t>
  </si>
  <si>
    <t>&lt;em&gt;6.8.6.4. Sweden ABC Market Size and Forecast, by Segment4 (2024-2032)&lt;/em&gt;</t>
  </si>
  <si>
    <t>&lt;em&gt;6.8.6.5. Sweden ABC Market Size and Forecast, by Segment5 (2024-2032)&lt;/em&gt;</t>
  </si>
  <si>
    <t>&lt;em&gt;6.8.6.6. Sweden ABC Market Size and Forecast, by Segment6 (2024-2032)&lt;/em&gt;</t>
  </si>
  <si>
    <t>&lt;em&gt;6.8.6.7. Sweden ABC Market Size and Forecast, by Segment7 (2024-2032)&lt;/em&gt;</t>
  </si>
  <si>
    <t>&lt;em&gt;6.8.7.1. Austria ABC Market Size and Forecast, by Segment1 (2024-2032)&lt;/em&gt;</t>
  </si>
  <si>
    <t>&lt;em&gt;6.8.7.2. Austria ABC Market Size and Forecast, by Segment2 (2024-2032)&lt;/em&gt;</t>
  </si>
  <si>
    <t>&lt;em&gt;6.8.7.3. Austria ABC Market Size and Forecast, by Segment3 (2024-2032)&lt;/em&gt;</t>
  </si>
  <si>
    <t>&lt;em&gt;6.8.7.4. Austria ABC Market Size and Forecast, by Segment4 (2024-2032)&lt;/em&gt;</t>
  </si>
  <si>
    <t>&lt;em&gt;6.8.7.5. Austria ABC Market Size and Forecast, by Segment5 (2024-2032)&lt;/em&gt;</t>
  </si>
  <si>
    <t>&lt;em&gt;6.8.7.6. Austria ABC Market Size and Forecast, by Segment6 (2024-2032)&lt;/em&gt;</t>
  </si>
  <si>
    <t>&lt;em&gt;6.8.7.7. Austria ABC Market Size and Forecast, by Segment7 (2024-2032)&lt;/em&gt;</t>
  </si>
  <si>
    <t>&lt;em&gt;6.8.8.1. Rest of Europe ABC Market Size and Forecast, by Segment1 (2024-2032)&lt;/em&gt;</t>
  </si>
  <si>
    <t>&lt;em&gt;6.8.8.2. Rest of Europe ABC Market Size and Forecast, by Segment2 (2024-2032)&lt;/em&gt;</t>
  </si>
  <si>
    <t>&lt;em&gt;6.8.8.3. Rest of Europe ABC Market Size and Forecast, by Segment3 (2024-2032)&lt;/em&gt;</t>
  </si>
  <si>
    <t>&lt;em&gt;6.8.8.4. Rest of Europe ABC Market Size and Forecast, by Segment4 (2024-2032)&lt;/em&gt;</t>
  </si>
  <si>
    <t>&lt;em&gt;6.8.8.5. Rest of Europe ABC Market Size and Forecast, by Segment5 (2024-2032)&lt;/em&gt;</t>
  </si>
  <si>
    <t>&lt;em&gt;6.8.8.6. Rest of Europe ABC Market Size and Forecast, by Segment6 (2024-2032)&lt;/em&gt;</t>
  </si>
  <si>
    <t>&lt;em&gt;6.8.8.7. Rest of Europe ABC Market Size and Forecast, by Segment7 (2024-2032)&lt;/em&gt;</t>
  </si>
  <si>
    <t>&lt;strong&gt;7. Asia Pacific ABC Market Size and Forecast by Segmentation (by Value in USD Million) 2024-2032&lt;/strong&gt;</t>
  </si>
  <si>
    <t>7.1. Asia Pacific ABC Market Size and Forecast, by Segment1 (2024-2032)</t>
  </si>
  <si>
    <t>7.2. Asia Pacific ABC Market Size and Forecast, by Segment2 (2024-2032)</t>
  </si>
  <si>
    <t>7.3. Asia Pacific ABC Market Size and Forecast, by Segment3 (2024-2032)</t>
  </si>
  <si>
    <t>7.4. Asia Pacific ABC Market Size and Forecast, by Segment4 (2024-2032)</t>
  </si>
  <si>
    <t>7.5. Asia Pacific ABC Market Size and Forecast, by Segment5 (2024-2032)</t>
  </si>
  <si>
    <t>7.6. Asia Pacific ABC Market Size and Forecast, by Segment6 (2024-2032)</t>
  </si>
  <si>
    <t>7.7. Asia Pacific ABC Market Size and Forecast, by Segment7 (2024-2032)</t>
  </si>
  <si>
    <t>7.8. Asia Pacific ABC Market Size and Forecast, by Country (2024-2032)</t>
  </si>
  <si>
    <t>&lt;em&gt;7.8.1.1. China ABC Market Size and Forecast, by Segment1 (2024-2032)&lt;/em&gt;</t>
  </si>
  <si>
    <t>&lt;em&gt;7.8.1.2. China ABC Market Size and Forecast, by Segment2 (2024-2032)&lt;/em&gt;</t>
  </si>
  <si>
    <t>&lt;em&gt;7.8.1.3. China ABC Market Size and Forecast, by Segment3 (2024-2032)&lt;/em&gt;</t>
  </si>
  <si>
    <t>&lt;em&gt;7.8.1.4. China ABC Market Size and Forecast, by Segment4 (2024-2032)&lt;/em&gt;</t>
  </si>
  <si>
    <t>&lt;em&gt;7.8.1.5. China ABC Market Size and Forecast, by Segment5 (2024-2032)&lt;/em&gt;</t>
  </si>
  <si>
    <t>&lt;em&gt;7.8.1.6. China ABC Market Size and Forecast, by Segment6 (2024-2032)&lt;/em&gt;</t>
  </si>
  <si>
    <t>&lt;em&gt;7.8.1.7. China ABC Market Size and Forecast, by Segment7 (2024-2032)&lt;/em&gt;</t>
  </si>
  <si>
    <t>&lt;em&gt;7.8.2.1. S Korea ABC Market Size and Forecast, by Segment1 (2024-2032)&lt;/em&gt;</t>
  </si>
  <si>
    <t>&lt;em&gt;7.8.2.2. S Korea ABC Market Size and Forecast, by Segment2 (2024-2032)&lt;/em&gt;</t>
  </si>
  <si>
    <t>&lt;em&gt;7.8.2.3. S Korea ABC Market Size and Forecast, by Segment3 (2024-2032)&lt;/em&gt;</t>
  </si>
  <si>
    <t>&lt;em&gt;7.8.2.4. S Korea ABC Market Size and Forecast, by Segment4 (2024-2032)&lt;/em&gt;</t>
  </si>
  <si>
    <t>&lt;em&gt;7.8.2.5. S Korea ABC Market Size and Forecast, by Segment5 (2024-2032)&lt;/em&gt;</t>
  </si>
  <si>
    <t>&lt;em&gt;7.8.2.6. S Korea ABC Market Size and Forecast, by Segment6 (2024-2032)&lt;/em&gt;</t>
  </si>
  <si>
    <t>&lt;em&gt;7.8.2.7. S Korea ABC Market Size and Forecast, by Segment7 (2024-2032)&lt;/em&gt;</t>
  </si>
  <si>
    <t>&lt;em&gt;7.8.3.1. Japan ABC Market Size and Forecast, by Segment1 (2024-2032)&lt;/em&gt;</t>
  </si>
  <si>
    <t>&lt;em&gt;7.8.3.2. Japan ABC Market Size and Forecast, by Segment2 (2024-2032)&lt;/em&gt;</t>
  </si>
  <si>
    <t>&lt;em&gt;7.8.3.3. Japan ABC Market Size and Forecast, by Segment3 (2024-2032)&lt;/em&gt;</t>
  </si>
  <si>
    <t>&lt;em&gt;7.8.3.4. Japan ABC Market Size and Forecast, by Segment4 (2024-2032)&lt;/em&gt;</t>
  </si>
  <si>
    <t>&lt;em&gt;7.8.3.5. Japan ABC Market Size and Forecast, by Segment5 (2024-2032)&lt;/em&gt;</t>
  </si>
  <si>
    <t>&lt;em&gt;7.8.3.6. Japan ABC Market Size and Forecast, by Segment6 (2024-2032)&lt;/em&gt;</t>
  </si>
  <si>
    <t>&lt;em&gt;7.8.3.7. Japan ABC Market Size and Forecast, by Segment7 (2024-2032)&lt;/em&gt;</t>
  </si>
  <si>
    <t>&lt;em&gt;7.8.4.1. India ABC Market Size and Forecast, by Segment1 (2024-2032)&lt;/em&gt;</t>
  </si>
  <si>
    <t>&lt;em&gt;7.8.4.2. India ABC Market Size and Forecast, by Segment2 (2024-2032)&lt;/em&gt;</t>
  </si>
  <si>
    <t>&lt;em&gt;7.8.4.3. India ABC Market Size and Forecast, by Segment3 (2024-2032)&lt;/em&gt;</t>
  </si>
  <si>
    <t>&lt;em&gt;7.8.4.4. India ABC Market Size and Forecast, by Segment4 (2024-2032)&lt;/em&gt;</t>
  </si>
  <si>
    <t>&lt;em&gt;7.8.4.5. India ABC Market Size and Forecast, by Segment5 (2024-2032)&lt;/em&gt;</t>
  </si>
  <si>
    <t>&lt;em&gt;7.8.4.6. India ABC Market Size and Forecast, by Segment6 (2024-2032)&lt;/em&gt;</t>
  </si>
  <si>
    <t>&lt;em&gt;7.8.4.7. India ABC Market Size and Forecast, by Segment7 (2024-2032)&lt;/em&gt;</t>
  </si>
  <si>
    <t>&lt;em&gt;7.8.5.1. Australia ABC Market Size and Forecast, by Segment1 (2024-2032)&lt;/em&gt;</t>
  </si>
  <si>
    <t>&lt;em&gt;7.8.5.2. Australia ABC Market Size and Forecast, by Segment2 (2024-2032)&lt;/em&gt;</t>
  </si>
  <si>
    <t>&lt;em&gt;7.8.5.3. Australia ABC Market Size and Forecast, by Segment3 (2024-2032)&lt;/em&gt;</t>
  </si>
  <si>
    <t>&lt;em&gt;7.8.5.4. Australia ABC Market Size and Forecast, by Segment4 (2024-2032)&lt;/em&gt;</t>
  </si>
  <si>
    <t>&lt;em&gt;7.8.5.5. Australia ABC Market Size and Forecast, by Segment5 (2024-2032)&lt;/em&gt;</t>
  </si>
  <si>
    <t>&lt;em&gt;7.8.5.6. Australia ABC Market Size and Forecast, by Segment6 (2024-2032)&lt;/em&gt;</t>
  </si>
  <si>
    <t>&lt;em&gt;7.8.5.7. Australia ABC Market Size and Forecast, by Segment7 (2024-2032)&lt;/em&gt;</t>
  </si>
  <si>
    <t>&lt;em&gt;7.8.6.1. Indonesia ABC Market Size and Forecast, by Segment1 (2024-2032)&lt;/em&gt;</t>
  </si>
  <si>
    <t>&lt;em&gt;7.8.6.2. Indonesia ABC Market Size and Forecast, by Segment2 (2024-2032)&lt;/em&gt;</t>
  </si>
  <si>
    <t>&lt;em&gt;7.8.6.3. Indonesia ABC Market Size and Forecast, by Segment3 (2024-2032)&lt;/em&gt;</t>
  </si>
  <si>
    <t>&lt;em&gt;7.8.6.4. Indonesia ABC Market Size and Forecast, by Segment4 (2024-2032)&lt;/em&gt;</t>
  </si>
  <si>
    <t>&lt;em&gt;7.8.6.5. Indonesia ABC Market Size and Forecast, by Segment5 (2024-2032)&lt;/em&gt;</t>
  </si>
  <si>
    <t>&lt;em&gt;7.8.6.6. Indonesia ABC Market Size and Forecast, by Segment6 (2024-2032)&lt;/em&gt;</t>
  </si>
  <si>
    <t>&lt;em&gt;7.8.6.7. Indonesia ABC Market Size and Forecast, by Segment7 (2024-2032)&lt;/em&gt;</t>
  </si>
  <si>
    <t>&lt;em&gt;7.8.7.1. Malaysia ABC Market Size and Forecast, by Segment1 (2024-2032)&lt;/em&gt;</t>
  </si>
  <si>
    <t>&lt;em&gt;7.8.7.2. Malaysia ABC Market Size and Forecast, by Segment2 (2024-2032)&lt;/em&gt;</t>
  </si>
  <si>
    <t>&lt;em&gt;7.8.7.3. Malaysia ABC Market Size and Forecast, by Segment3 (2024-2032)&lt;/em&gt;</t>
  </si>
  <si>
    <t>&lt;em&gt;7.8.7.4. Malaysia ABC Market Size and Forecast, by Segment4 (2024-2032)&lt;/em&gt;</t>
  </si>
  <si>
    <t>&lt;em&gt;7.8.7.5. Malaysia ABC Market Size and Forecast, by Segment5 (2024-2032)&lt;/em&gt;</t>
  </si>
  <si>
    <t>&lt;em&gt;7.8.7.6. Malaysia ABC Market Size and Forecast, by Segment6 (2024-2032)&lt;/em&gt;</t>
  </si>
  <si>
    <t>&lt;em&gt;7.8.7.7. Malaysia ABC Market Size and Forecast, by Segment7 (2024-2032)&lt;/em&gt;</t>
  </si>
  <si>
    <t>&lt;em&gt;7.8.8.1. Vietnam ABC Market Size and Forecast, by Segment1 (2024-2032)&lt;/em&gt;</t>
  </si>
  <si>
    <t>&lt;em&gt;7.8.8.2. Vietnam ABC Market Size and Forecast, by Segment2 (2024-2032)&lt;/em&gt;</t>
  </si>
  <si>
    <t>&lt;em&gt;7.8.8.3. Vietnam ABC Market Size and Forecast, by Segment3 (2024-2032)&lt;/em&gt;</t>
  </si>
  <si>
    <t>&lt;em&gt;7.8.8.4. Vietnam ABC Market Size and Forecast, by Segment4 (2024-2032)&lt;/em&gt;</t>
  </si>
  <si>
    <t>&lt;em&gt;7.8.8.5. Vietnam ABC Market Size and Forecast, by Segment5 (2024-2032)&lt;/em&gt;</t>
  </si>
  <si>
    <t>&lt;em&gt;7.8.8.6. Vietnam ABC Market Size and Forecast, by Segment6 (2024-2032)&lt;/em&gt;</t>
  </si>
  <si>
    <t>&lt;em&gt;7.8.8.7. Vietnam ABC Market Size and Forecast, by Segment7 (2024-2032)&lt;/em&gt;</t>
  </si>
  <si>
    <t>&lt;em&gt;7.8.9.1. Taiwan ABC Market Size and Forecast, by Segment1 (2024-2032)&lt;/em&gt;</t>
  </si>
  <si>
    <t>&lt;em&gt;7.8.9.2. Taiwan ABC Market Size and Forecast, by Segment2 (2024-2032)&lt;/em&gt;</t>
  </si>
  <si>
    <t>&lt;em&gt;7.8.9.3. Taiwan ABC Market Size and Forecast, by Segment3 (2024-2032)&lt;/em&gt;</t>
  </si>
  <si>
    <t>&lt;em&gt;7.8.9.4. Taiwan ABC Market Size and Forecast, by Segment4 (2024-2032)&lt;/em&gt;</t>
  </si>
  <si>
    <t>&lt;em&gt;7.8.9.5. Taiwan ABC Market Size and Forecast, by Segment5 (2024-2032)&lt;/em&gt;</t>
  </si>
  <si>
    <t>&lt;em&gt;7.8.9.6. Taiwan ABC Market Size and Forecast, by Segment6 (2024-2032)&lt;/em&gt;</t>
  </si>
  <si>
    <t>&lt;em&gt;7.8.9.7. Taiwan ABC Market Size and Forecast, by Segment7 (2024-2032)&lt;/em&gt;</t>
  </si>
  <si>
    <t>&lt;em&gt;7.8.10.1. Rest of Asia Pacific ABC Market Size and Forecast, by Segment1 (2024-2032)&lt;/em&gt;</t>
  </si>
  <si>
    <t>&lt;em&gt;7.8.10.2. Rest of Asia Pacific ABC Market Size and Forecast, by Segment2 (2024-2032)&lt;/em&gt;</t>
  </si>
  <si>
    <t>&lt;em&gt;7.8.10.3. Rest of Asia Pacific ABC Market Size and Forecast, by Segment3 (2024-2032)&lt;/em&gt;</t>
  </si>
  <si>
    <t>&lt;em&gt;7.8.10.4. Rest of Asia Pacific ABC Market Size and Forecast, by Segment4 (2024-2032)&lt;/em&gt;</t>
  </si>
  <si>
    <t>&lt;em&gt;7.8.10.5. Rest of Asia Pacific ABC Market Size and Forecast, by Segment5 (2024-2032)&lt;/em&gt;</t>
  </si>
  <si>
    <t>&lt;em&gt;7.8.10.6. Rest of Asia Pacific ABC Market Size and Forecast, by Segment6 (2024-2032)&lt;/em&gt;</t>
  </si>
  <si>
    <t>&lt;em&gt;7.8.10.7. Rest of Asia Pacific ABC Market Size and Forecast, by Segment7 (2024-2032)&lt;/em&gt;</t>
  </si>
  <si>
    <t>&lt;strong&gt;8. Middle East and Africa ABC Market Size and Forecast by Segmentation (by Value in USD Million) 2024-2032&lt;/strong&gt;</t>
  </si>
  <si>
    <t>8.1. Middle East and Africa ABC Market Size and Forecast, by Segment1 (2024-2032)</t>
  </si>
  <si>
    <t>8.2. Middle East and Africa ABC Market Size and Forecast, by Segment2 (2024-2032)</t>
  </si>
  <si>
    <t>8.3. Middle East and Africa ABC Market Size and Forecast, by Segment3 (2024-2032)</t>
  </si>
  <si>
    <t>8.4. Middle East and Africa ABC Market Size and Forecast, by Segment4 (2024-2032)</t>
  </si>
  <si>
    <t>8.5. Middle East and Africa ABC Market Size and Forecast, by Segment5 (2024-2032)</t>
  </si>
  <si>
    <t>8.6. Middle East and Africa ABC Market Size and Forecast, by Segment6 (2024-2032)</t>
  </si>
  <si>
    <t>8.7. Middle East and Africa ABC Market Size and Forecast, by Segment7 (2024-2032)</t>
  </si>
  <si>
    <t>8.8. Middle East and Africa ABC Market Size and Forecast, by Country (2024-2032)</t>
  </si>
  <si>
    <t>&lt;em&gt;8.8.1.1. South Africa ABC Market Size and Forecast, by Segment1 (2024-2032)&lt;/em&gt;</t>
  </si>
  <si>
    <t>&lt;em&gt;8.8.1.2. South Africa ABC Market Size and Forecast, by Segment2 (2024-2032)&lt;/em&gt;</t>
  </si>
  <si>
    <t>&lt;em&gt;8.8.1.3. South Africa ABC Market Size and Forecast, by Segment3 (2024-2032)&lt;/em&gt;</t>
  </si>
  <si>
    <t>&lt;em&gt;8.8.1.4. South Africa ABC Market Size and Forecast, by Segment4 (2024-2032)&lt;/em&gt;</t>
  </si>
  <si>
    <t>&lt;em&gt;8.8.1.5. South Africa ABC Market Size and Forecast, by Segment5 (2024-2032)&lt;/em&gt;</t>
  </si>
  <si>
    <t>&lt;em&gt;8.8.1.6. South Africa ABC Market Size and Forecast, by Segment6 (2024-2032)&lt;/em&gt;</t>
  </si>
  <si>
    <t>&lt;em&gt;8.8.1.7. South Africa ABC Market Size and Forecast, by Segment7 (2024-2032)&lt;/em&gt;</t>
  </si>
  <si>
    <t>&lt;em&gt;8.8.2.1. GCC ABC Market Size and Forecast, by Segment1 (2024-2032)&lt;/em&gt;</t>
  </si>
  <si>
    <t>&lt;em&gt;8.8.2.2. GCC ABC Market Size and Forecast, by Segment2 (2024-2032)&lt;/em&gt;</t>
  </si>
  <si>
    <t>&lt;em&gt;8.8.2.3. GCC ABC Market Size and Forecast, by Segment3 (2024-2032)&lt;/em&gt;</t>
  </si>
  <si>
    <t>&lt;em&gt;8.8.2.4. GCC ABC Market Size and Forecast, by Segment4 (2024-2032)&lt;/em&gt;</t>
  </si>
  <si>
    <t>&lt;em&gt;8.8.2.5. GCC ABC Market Size and Forecast, by Segment5 (2024-2032)&lt;/em&gt;</t>
  </si>
  <si>
    <t>&lt;em&gt;8.8.2.6. GCC ABC Market Size and Forecast, by Segment6 (2024-2032)&lt;/em&gt;</t>
  </si>
  <si>
    <t>&lt;em&gt;8.8.2.7. GCC ABC Market Size and Forecast, by Segment7 (2024-2032)&lt;/em&gt;</t>
  </si>
  <si>
    <t>&lt;em&gt;8.8.3.1. Nigeria ABC Market Size and Forecast, by Segment1 (2024-2032)&lt;/em&gt;</t>
  </si>
  <si>
    <t>&lt;em&gt;8.8.3.2. Nigeria ABC Market Size and Forecast, by Segment2 (2024-2032)&lt;/em&gt;</t>
  </si>
  <si>
    <t>&lt;em&gt;8.8.3.3. Nigeria ABC Market Size and Forecast, by Segment3 (2024-2032)&lt;/em&gt;</t>
  </si>
  <si>
    <t>&lt;em&gt;8.8.3.4. Nigeria ABC Market Size and Forecast, by Segment4 (2024-2032)&lt;/em&gt;</t>
  </si>
  <si>
    <t>&lt;em&gt;8.8.3.5. Nigeria ABC Market Size and Forecast, by Segment5 (2024-2032)&lt;/em&gt;</t>
  </si>
  <si>
    <t>&lt;em&gt;8.8.3.6. Nigeria ABC Market Size and Forecast, by Segment6 (2024-2032)&lt;/em&gt;</t>
  </si>
  <si>
    <t>&lt;em&gt;8.8.3.7. Nigeria ABC Market Size and Forecast, by Segment6 (2024-2032)&lt;/em&gt;</t>
  </si>
  <si>
    <t>&lt;em&gt;8.8.4.1. Rest of ME&amp;amp;A ABC Market Size and Forecast, by Segment1 (2024-2032)&lt;/em&gt;</t>
  </si>
  <si>
    <t>&lt;em&gt;8.8.4.2. Rest of ME&amp;amp;A ABC Market Size and Forecast, by Segment2 (2024-2032)&lt;/em&gt;</t>
  </si>
  <si>
    <t>&lt;em&gt;8.8.4.3. Rest of ME&amp;amp;A ABC Market Size and Forecast, by Segment3 (2024-2032)&lt;/em&gt;</t>
  </si>
  <si>
    <t>&lt;em&gt;8.8.4.4. Rest of ME&amp;amp;A ABC Market Size and Forecast, by Segment4 (2024-2032)&lt;/em&gt;</t>
  </si>
  <si>
    <t>&lt;em&gt;8.8.4.5. Rest of ME&amp;amp;A ABC Market Size and Forecast, by Segment5 (2024-2032)&lt;/em&gt;</t>
  </si>
  <si>
    <t>&lt;em&gt;8.8.4.6. Rest of ME&amp;amp;A ABC Market Size and Forecast, by Segment6 (2024-2032)&lt;/em&gt;</t>
  </si>
  <si>
    <t>&lt;em&gt;8.8.4.7. Rest of ME&amp;amp;A ABC Market Size and Forecast, by Segment7 (2024-2032)&lt;/em&gt;</t>
  </si>
  <si>
    <t>&lt;strong&gt;9. South America ABC Market Size and Forecast by Segmentation (by Value in USD Million) 2024-2032&lt;/strong&gt;</t>
  </si>
  <si>
    <t>9.1. South America ABC Market Size and Forecast, by Segment1 (2024-2032)</t>
  </si>
  <si>
    <t>9.2. South America ABC Market Size and Forecast, by Segment2 (2024-2032)</t>
  </si>
  <si>
    <t>9.3. South America ABC Market Size and Forecast, by Segment3(2024-2032)</t>
  </si>
  <si>
    <t>9.4. South America ABC Market Size and Forecast, by Segment4 (2024-2032)</t>
  </si>
  <si>
    <t>9.5. South America ABC Market Size and Forecast, by Segment5 (2024-2032)</t>
  </si>
  <si>
    <t>9.6. South America ABC Market Size and Forecast, by Segment6 (2024-2032)</t>
  </si>
  <si>
    <t>9.7. South America ABC Market Size and Forecast, by Segment7 (2024-2032)</t>
  </si>
  <si>
    <t>9.8. South America ABC Market Size and Forecast, by Country (2024-2032)</t>
  </si>
  <si>
    <t>&lt;em&gt;9.8.1.1. Brazil ABC Market Size and Forecast, by Segment1 (2024-2032)&lt;/em&gt;</t>
  </si>
  <si>
    <t>&lt;em&gt;9.8.1.2. Brazil ABC Market Size and Forecast, by Segment2 (2024-2032)&lt;/em&gt;</t>
  </si>
  <si>
    <t>&lt;em&gt;9.8.1.3. Brazil ABC Market Size and Forecast, by Segment3 (2024-2032)&lt;/em&gt;</t>
  </si>
  <si>
    <t>&lt;em&gt;9.8.1.4. Brazil ABC Market Size and Forecast, by Segment4 (2024-2032)&lt;/em&gt;</t>
  </si>
  <si>
    <t>&lt;em&gt;9.8.1.5. Brazil ABC Market Size and Forecast, by Segment5 (2024-2032)&lt;/em&gt;</t>
  </si>
  <si>
    <t>&lt;em&gt;9.8.1.6. Brazil ABC Market Size and Forecast, by Segment6 (2024-2032)&lt;/em&gt;</t>
  </si>
  <si>
    <t>&lt;em&gt;9.8.1.7. Brazil ABC Market Size and Forecast, by Segment7 (2024-2032)&lt;/em&gt;</t>
  </si>
  <si>
    <t>&lt;em&gt;9.8.2.1. Argentina ABC Market Size and Forecast, by Segment1 (2024-2032)&lt;/em&gt;</t>
  </si>
  <si>
    <t>&lt;em&gt;9.8.2.2. Argentina ABC Market Size and Forecast, by Segment2 (2024-2032)&lt;/em&gt;</t>
  </si>
  <si>
    <t>&lt;em&gt;9.8.2.3. Argentina ABC Market Size and Forecast, by Segment3 (2024-2032)&lt;/em&gt;</t>
  </si>
  <si>
    <t>&lt;em&gt;9.8.2.4. Argentina ABC Market Size and Forecast, by Segment4 (2024-2032)&lt;/em&gt;</t>
  </si>
  <si>
    <t>&lt;em&gt;9.8.2.5. Argentina ABC Market Size and Forecast, by Segment5 (2024-2032)&lt;/em&gt;</t>
  </si>
  <si>
    <t>&lt;em&gt;9.8.2.6. Argentina ABC Market Size and Forecast, by Segment6 (2024-2032)&lt;/em&gt;</t>
  </si>
  <si>
    <t>&lt;em&gt;9.8.2.7. Argentina ABC Market Size and Forecast, by Segment7 (2024-2032)&lt;/em&gt;</t>
  </si>
  <si>
    <t>&lt;em&gt;9.8.3.1. Rest Of South America ABC Market Size and Forecast, by Segment1 (2024-2032)&lt;/em&gt;</t>
  </si>
  <si>
    <t>&lt;em&gt;9.8.3.2. Rest Of South America ABC Market Size and Forecast, by Segment2 (2024-2032)&lt;/em&gt;</t>
  </si>
  <si>
    <t>&lt;em&gt;9.8.3.3. Rest Of South America ABC Market Size and Forecast, by Segment3 (2024-2032)&lt;/em&gt;</t>
  </si>
  <si>
    <t>&lt;em&gt;9.8.3.4. Rest Of South America ABC Market Size and Forecast, by Segment4 (2024-2032)&lt;/em&gt;</t>
  </si>
  <si>
    <t>&lt;em&gt;9.8.3.5. Rest Of South America ABC Market Size and Forecast, by Segment5 (2024-2032)&lt;/em&gt;</t>
  </si>
  <si>
    <t>&lt;em&gt;9.8.3.6. Rest Of South America ABC Market Size and Forecast, by Segment6 (2024-2032)&lt;/em&gt;</t>
  </si>
  <si>
    <t>&lt;em&gt;9.8.3.7. Rest Of South America ABC Market Size and Forecast, by Segment7 (2024-2032)&lt;/em&gt;</t>
  </si>
  <si>
    <t>4.7. ABC Market Size and Forecast, by Region (2024-2032)</t>
  </si>
  <si>
    <t>&lt;em&gt;4.7.1. North America&lt;/em&gt;</t>
  </si>
  <si>
    <t>&lt;em&gt;4.7.2. Europe&lt;/em&gt;</t>
  </si>
  <si>
    <t>&lt;em&gt;4.7.3. Asia Pacific&lt;/em&gt;</t>
  </si>
  <si>
    <t>&lt;em&gt;4.7.4. Middle East and Africa&lt;/em&gt;</t>
  </si>
  <si>
    <t>&lt;em&gt;4.7.5. South America&lt;/em&gt;</t>
  </si>
  <si>
    <t>5.7. North America ABC Market Size and Forecast, by Country (2024-2032)</t>
  </si>
  <si>
    <t>&lt;strong&gt;&lt;em&gt;5.7.1. United States&lt;/em&gt;&lt;/strong&gt;</t>
  </si>
  <si>
    <t>&lt;em&gt;5.7.1.1. United States ABC Market Size and Forecast, by Segment1 (2024-2032)&lt;/em&gt;</t>
  </si>
  <si>
    <t>&lt;em&gt;5.7.1.1.1. AA1&lt;/em&gt;</t>
  </si>
  <si>
    <t>&lt;em&gt;5.7.1.1.2. AA2&lt;/em&gt;</t>
  </si>
  <si>
    <t>&lt;em&gt;5.7.1.1.3. AA3&lt;/em&gt;</t>
  </si>
  <si>
    <t>&lt;em&gt;5.7.1.1.4. AA4&lt;/em&gt;</t>
  </si>
  <si>
    <t>&lt;em&gt;5.7.1.1.5. AA5&lt;/em&gt;</t>
  </si>
  <si>
    <t>&lt;em&gt;5.7.1.1.6. AA6&lt;/em&gt;</t>
  </si>
  <si>
    <t>&lt;em&gt;5.7.1.1.7. AA7&lt;/em&gt;</t>
  </si>
  <si>
    <t>&lt;em&gt;5.7.1.1.8. AA8&lt;/em&gt;</t>
  </si>
  <si>
    <t>&lt;em&gt;5.7.1.1.9. AA9&lt;/em&gt;</t>
  </si>
  <si>
    <t>&lt;em&gt;5.7.1.1.10. AA10&lt;/em&gt;</t>
  </si>
  <si>
    <t>&lt;em&gt;5.7.1.1.11. AA11&lt;/em&gt;</t>
  </si>
  <si>
    <t>&lt;em&gt;5.7.1.1.12. AA12&lt;/em&gt;</t>
  </si>
  <si>
    <t>&lt;em&gt;5.7.1.1.13. AA13&lt;/em&gt;</t>
  </si>
  <si>
    <t>&lt;em&gt;5.7.1.1.14. AA14&lt;/em&gt;</t>
  </si>
  <si>
    <t>&lt;em&gt;5.7.1.1.15. AA15&lt;/em&gt;</t>
  </si>
  <si>
    <t>&lt;em&gt;5.7.1.2. United States ABC Market Size and Forecast, by Segment2 (2024-2032)&lt;/em&gt;</t>
  </si>
  <si>
    <t>&lt;em&gt;5.7.1.2.1. BB1&lt;/em&gt;</t>
  </si>
  <si>
    <t>&lt;em&gt;5.7.1.2.2. BB2&lt;/em&gt;</t>
  </si>
  <si>
    <t>&lt;em&gt;5.7.1.2.3. BB3&lt;/em&gt;</t>
  </si>
  <si>
    <t>&lt;em&gt;5.7.1.2.4. BB4&lt;/em&gt;</t>
  </si>
  <si>
    <t>&lt;em&gt;5.7.1.2.5. BB5&lt;/em&gt;</t>
  </si>
  <si>
    <t>&lt;em&gt;5.7.1.2.6. BB6&lt;/em&gt;</t>
  </si>
  <si>
    <t>&lt;em&gt;5.7.1.2.7. BB7&lt;/em&gt;</t>
  </si>
  <si>
    <t>&lt;em&gt;5.7.1.2.8. BB8&lt;/em&gt;</t>
  </si>
  <si>
    <t>&lt;em&gt;5.7.1.2.9. BB9&lt;/em&gt;</t>
  </si>
  <si>
    <t>&lt;em&gt;5.7.1.2.10. BB10&lt;/em&gt;</t>
  </si>
  <si>
    <t>&lt;em&gt;5.7.1.2.11. BB11&lt;/em&gt;</t>
  </si>
  <si>
    <t>&lt;em&gt;5.7.1.2.12. BB12&lt;/em&gt;</t>
  </si>
  <si>
    <t>&lt;em&gt;5.7.1.2.13. BB13&lt;/em&gt;</t>
  </si>
  <si>
    <t>&lt;em&gt;5.7.1.2.14. BB14&lt;/em&gt;</t>
  </si>
  <si>
    <t>&lt;em&gt;5.7.1.2.15. BB15&lt;/em&gt;</t>
  </si>
  <si>
    <t>&lt;em&gt;5.7.1.3. United States ABC Market Size and Forecast, by Segment3 (2024-2032)&lt;/em&gt;</t>
  </si>
  <si>
    <t>&lt;em&gt;5.7.1.3.1. CC1&lt;/em&gt;</t>
  </si>
  <si>
    <t>&lt;em&gt;5.7.1.3.2. CC2&lt;/em&gt;</t>
  </si>
  <si>
    <t>&lt;em&gt;5.7.1.3.3. CC3&lt;/em&gt;</t>
  </si>
  <si>
    <t>&lt;em&gt;5.7.1.3.4. CC4&lt;/em&gt;</t>
  </si>
  <si>
    <t>&lt;em&gt;5.7.1.3.5. CC5&lt;/em&gt;</t>
  </si>
  <si>
    <t>&lt;em&gt;5.7.1.3.6. CC6&lt;/em&gt;</t>
  </si>
  <si>
    <t>&lt;em&gt;5.7.1.3.7. CC7&lt;/em&gt;</t>
  </si>
  <si>
    <t>&lt;em&gt;5.7.1.3.8. CC8&lt;/em&gt;</t>
  </si>
  <si>
    <t>&lt;em&gt;5.7.1.3.9. CC9&lt;/em&gt;</t>
  </si>
  <si>
    <t>&lt;em&gt;5.7.1.3.10. CC10&lt;/em&gt;</t>
  </si>
  <si>
    <t>&lt;em&gt;5.7.1.3.11. CC11&lt;/em&gt;</t>
  </si>
  <si>
    <t>&lt;em&gt;5.7.1.3.12. CC12&lt;/em&gt;</t>
  </si>
  <si>
    <t>&lt;em&gt;5.7.1.3.13. CC13&lt;/em&gt;</t>
  </si>
  <si>
    <t>&lt;em&gt;5.7.1.3.14. CC14&lt;/em&gt;</t>
  </si>
  <si>
    <t>&lt;em&gt;5.7.1.3.15. CC15&lt;/em&gt;</t>
  </si>
  <si>
    <t>&lt;em&gt;5.7.1.4. United States ABC Market Size and Forecast, by Segment4 (2024-2032)&lt;/em&gt;</t>
  </si>
  <si>
    <t>&lt;em&gt;5.7.1.4.1. DD1&lt;/em&gt;</t>
  </si>
  <si>
    <t>&lt;em&gt;5.7.1.4.2. DD2&lt;/em&gt;</t>
  </si>
  <si>
    <t>&lt;em&gt;5.7.1.4.3. DD3&lt;/em&gt;</t>
  </si>
  <si>
    <t>&lt;em&gt;5.7.1.4.4. DD4&lt;/em&gt;</t>
  </si>
  <si>
    <t>&lt;em&gt;5.7.1.4.5. DD5&lt;/em&gt;</t>
  </si>
  <si>
    <t>&lt;em&gt;5.7.1.4.6. DD6&lt;/em&gt;</t>
  </si>
  <si>
    <t>&lt;em&gt;5.7.1.4.7. DD7&lt;/em&gt;</t>
  </si>
  <si>
    <t>&lt;em&gt;5.7.1.4.8. DD8&lt;/em&gt;</t>
  </si>
  <si>
    <t>&lt;em&gt;5.7.1.4.9. DD9&lt;/em&gt;</t>
  </si>
  <si>
    <t>&lt;em&gt;5.7.1.4.10. DD10&lt;/em&gt;</t>
  </si>
  <si>
    <t>&lt;em&gt;5.7.1.4.11. DD11&lt;/em&gt;</t>
  </si>
  <si>
    <t>&lt;em&gt;5.7.1.4.12. DD12&lt;/em&gt;</t>
  </si>
  <si>
    <t>&lt;em&gt;5.7.1.4.13. DD13&lt;/em&gt;</t>
  </si>
  <si>
    <t>&lt;em&gt;5.7.1.4.14. DD14&lt;/em&gt;</t>
  </si>
  <si>
    <t>&lt;em&gt;5.7.1.4.15. DD15&lt;/em&gt;</t>
  </si>
  <si>
    <t>&lt;em&gt;5.7.1.5. United States ABC Market Size and Forecast, by Segment5 (2024-2032)&lt;/em&gt;</t>
  </si>
  <si>
    <t>&lt;em&gt;5.7.1.5.1. EE1&lt;/em&gt;</t>
  </si>
  <si>
    <t>&lt;em&gt;5.7.1.5.2. EE2&lt;/em&gt;</t>
  </si>
  <si>
    <t>&lt;em&gt;5.7.1.5.3. EE3&lt;/em&gt;</t>
  </si>
  <si>
    <t>&lt;em&gt;5.7.1.5.4. EE4&lt;/em&gt;</t>
  </si>
  <si>
    <t>&lt;em&gt;5.7.1.5.5. EE5&lt;/em&gt;</t>
  </si>
  <si>
    <t>&lt;em&gt;5.7.1.5.6. EE6&lt;/em&gt;</t>
  </si>
  <si>
    <t>&lt;em&gt;5.7.1.5.7. EE7&lt;/em&gt;</t>
  </si>
  <si>
    <t>&lt;em&gt;5.7.1.5.8. EE8&lt;/em&gt;</t>
  </si>
  <si>
    <t>&lt;em&gt;5.7.1.5.9. EE9&lt;/em&gt;</t>
  </si>
  <si>
    <t>&lt;em&gt;5.7.1.5.10. EE10&lt;/em&gt;</t>
  </si>
  <si>
    <t>&lt;em&gt;5.7.1.5.11. EE11&lt;/em&gt;</t>
  </si>
  <si>
    <t>&lt;em&gt;5.7.1.5.12. EE12&lt;/em&gt;</t>
  </si>
  <si>
    <t>&lt;em&gt;5.7.1.5.13. EE13&lt;/em&gt;</t>
  </si>
  <si>
    <t>&lt;em&gt;5.7.1.5.14. EE14&lt;/em&gt;</t>
  </si>
  <si>
    <t>&lt;em&gt;5.7.1.5.15. EE15&lt;/em&gt;</t>
  </si>
  <si>
    <t>&lt;em&gt;5.7.1.6. United States ABC Market Size and Forecast, by Segment6 (2024-2032)&lt;/em&gt;</t>
  </si>
  <si>
    <t>&lt;em&gt;5.7.1.6.1. FF1&lt;/em&gt;</t>
  </si>
  <si>
    <t>&lt;em&gt;5.7.1.6.2. FF2&lt;/em&gt;</t>
  </si>
  <si>
    <t>&lt;em&gt;5.7.1.6.3. FF3&lt;/em&gt;</t>
  </si>
  <si>
    <t>&lt;em&gt;5.7.1.6.4. FF4&lt;/em&gt;</t>
  </si>
  <si>
    <t>&lt;em&gt;5.7.1.6.5. FF5&lt;/em&gt;</t>
  </si>
  <si>
    <t>&lt;em&gt;5.7.1.6.6. FF6&lt;/em&gt;</t>
  </si>
  <si>
    <t>&lt;em&gt;5.7.1.6.7. FF7&lt;/em&gt;</t>
  </si>
  <si>
    <t>&lt;em&gt;5.7.1.6.8. FF8&lt;/em&gt;</t>
  </si>
  <si>
    <t>&lt;em&gt;5.7.1.6.9. FF9&lt;/em&gt;</t>
  </si>
  <si>
    <t>&lt;em&gt;5.7.1.6.10. FF10&lt;/em&gt;</t>
  </si>
  <si>
    <t>&lt;em&gt;5.7.1.6.11. FF11&lt;/em&gt;</t>
  </si>
  <si>
    <t>&lt;em&gt;5.7.1.6.12. FF12&lt;/em&gt;</t>
  </si>
  <si>
    <t>&lt;em&gt;5.7.1.6.13. FF13&lt;/em&gt;</t>
  </si>
  <si>
    <t>&lt;em&gt;5.7.1.6.14. FF14&lt;/em&gt;</t>
  </si>
  <si>
    <t>&lt;em&gt;5.7.1.6.15. FF15&lt;/em&gt;</t>
  </si>
  <si>
    <t>&lt;strong&gt;&lt;em&gt;5.7.2. Canada&lt;/em&gt;&lt;/strong&gt;</t>
  </si>
  <si>
    <t>&lt;em&gt;5.7.2.1. Canada ABC Market Size and Forecast, by Segment1 (2024-2032)&lt;/em&gt;</t>
  </si>
  <si>
    <t>&lt;em&gt;5.7.2.1.1. AA1&lt;/em&gt;</t>
  </si>
  <si>
    <t>&lt;em&gt;5.7.2.1.2. AA2&lt;/em&gt;</t>
  </si>
  <si>
    <t>&lt;em&gt;5.7.2.1.3. AA3&lt;/em&gt;</t>
  </si>
  <si>
    <t>&lt;em&gt;5.7.2.1.4. AA4&lt;/em&gt;</t>
  </si>
  <si>
    <t>&lt;em&gt;5.7.2.1.5. AA5&lt;/em&gt;</t>
  </si>
  <si>
    <t>&lt;em&gt;5.7.2.1.6. AA6&lt;/em&gt;</t>
  </si>
  <si>
    <t>&lt;em&gt;5.7.2.1.7. AA7&lt;/em&gt;</t>
  </si>
  <si>
    <t>&lt;em&gt;5.7.2.1.8. AA8&lt;/em&gt;</t>
  </si>
  <si>
    <t>&lt;em&gt;5.7.2.1.9. AA9&lt;/em&gt;</t>
  </si>
  <si>
    <t>&lt;em&gt;5.7.2.1.10. AA10&lt;/em&gt;</t>
  </si>
  <si>
    <t>&lt;em&gt;5.7.2.1.11. AA11&lt;/em&gt;</t>
  </si>
  <si>
    <t>&lt;em&gt;5.7.2.1.12. AA12&lt;/em&gt;</t>
  </si>
  <si>
    <t>&lt;em&gt;5.7.2.1.13. AA13&lt;/em&gt;</t>
  </si>
  <si>
    <t>&lt;em&gt;5.7.2.1.14. AA14&lt;/em&gt;</t>
  </si>
  <si>
    <t>&lt;em&gt;5.7.2.1.15. AA15&lt;/em&gt;</t>
  </si>
  <si>
    <t>&lt;em&gt;5.7.2.2. Canada ABC Market Size and Forecast, by Segment2 (2024-2032)&lt;/em&gt;</t>
  </si>
  <si>
    <t>&lt;em&gt;5.7.2.2.1. BB1&lt;/em&gt;</t>
  </si>
  <si>
    <t>&lt;em&gt;5.7.2.2.2. BB2&lt;/em&gt;</t>
  </si>
  <si>
    <t>&lt;em&gt;5.7.2.2.3. BB3&lt;/em&gt;</t>
  </si>
  <si>
    <t>&lt;em&gt;5.7.2.2.4. BB4&lt;/em&gt;</t>
  </si>
  <si>
    <t>&lt;em&gt;5.7.2.2.5. BB5&lt;/em&gt;</t>
  </si>
  <si>
    <t>&lt;em&gt;5.7.2.2.6. BB6&lt;/em&gt;</t>
  </si>
  <si>
    <t>&lt;em&gt;5.7.2.2.7. BB7&lt;/em&gt;</t>
  </si>
  <si>
    <t>&lt;em&gt;5.7.2.2.8. BB8&lt;/em&gt;</t>
  </si>
  <si>
    <t>&lt;em&gt;5.7.2.2.9. BB9&lt;/em&gt;</t>
  </si>
  <si>
    <t>&lt;em&gt;5.7.2.2.10. BB10&lt;/em&gt;</t>
  </si>
  <si>
    <t>&lt;em&gt;5.7.2.2.11. BB11&lt;/em&gt;</t>
  </si>
  <si>
    <t>&lt;em&gt;5.7.2.2.12. BB12&lt;/em&gt;</t>
  </si>
  <si>
    <t>&lt;em&gt;5.7.2.2.13. BB13&lt;/em&gt;</t>
  </si>
  <si>
    <t>&lt;em&gt;5.7.2.2.14. BB14&lt;/em&gt;</t>
  </si>
  <si>
    <t>&lt;em&gt;5.7.2.2.15. BB15&lt;/em&gt;</t>
  </si>
  <si>
    <t>&lt;em&gt;5.7.2.3. Canada ABC Market Size and Forecast, by Segment3 (2024-2032)&lt;/em&gt;</t>
  </si>
  <si>
    <t>&lt;em&gt;5.7.2.3.1. CC1&lt;/em&gt;</t>
  </si>
  <si>
    <t>&lt;em&gt;5.7.2.3.2. CC2&lt;/em&gt;</t>
  </si>
  <si>
    <t>&lt;em&gt;5.7.2.3.3. CC3&lt;/em&gt;</t>
  </si>
  <si>
    <t>&lt;em&gt;5.7.2.3.4. CC4&lt;/em&gt;</t>
  </si>
  <si>
    <t>&lt;em&gt;5.7.2.3.5. CC5&lt;/em&gt;</t>
  </si>
  <si>
    <t>&lt;em&gt;5.7.2.3.6. CC6&lt;/em&gt;</t>
  </si>
  <si>
    <t>&lt;em&gt;5.7.2.3.7. CC7&lt;/em&gt;</t>
  </si>
  <si>
    <t>&lt;em&gt;5.7.2.3.8. CC8&lt;/em&gt;</t>
  </si>
  <si>
    <t>&lt;em&gt;5.7.2.3.9. CC9&lt;/em&gt;</t>
  </si>
  <si>
    <t>&lt;em&gt;5.7.2.3.10. CC10&lt;/em&gt;</t>
  </si>
  <si>
    <t>&lt;em&gt;5.7.2.3.11. CC11&lt;/em&gt;</t>
  </si>
  <si>
    <t>&lt;em&gt;5.7.2.3.12. CC12&lt;/em&gt;</t>
  </si>
  <si>
    <t>&lt;em&gt;5.7.2.3.13. CC13&lt;/em&gt;</t>
  </si>
  <si>
    <t>&lt;em&gt;5.7.2.3.14. CC14&lt;/em&gt;</t>
  </si>
  <si>
    <t>&lt;em&gt;5.7.2.3.15. CC15&lt;/em&gt;</t>
  </si>
  <si>
    <t>&lt;em&gt;5.7.2.4. Canada ABC Market Size and Forecast, by Segment4 (2024-2032)&lt;/em&gt;</t>
  </si>
  <si>
    <t>&lt;em&gt;5.7.2.4.1. DD1&lt;/em&gt;</t>
  </si>
  <si>
    <t>&lt;em&gt;5.7.2.4.2. DD2&lt;/em&gt;</t>
  </si>
  <si>
    <t>&lt;em&gt;5.7.2.4.3. DD3&lt;/em&gt;</t>
  </si>
  <si>
    <t>&lt;em&gt;5.7.2.4.4. DD4&lt;/em&gt;</t>
  </si>
  <si>
    <t>&lt;em&gt;5.7.2.4.5. DD5&lt;/em&gt;</t>
  </si>
  <si>
    <t>&lt;em&gt;5.7.2.4.6. DD6&lt;/em&gt;</t>
  </si>
  <si>
    <t>&lt;em&gt;5.7.2.4.7. DD7&lt;/em&gt;</t>
  </si>
  <si>
    <t>&lt;em&gt;5.7.2.4.8. DD8&lt;/em&gt;</t>
  </si>
  <si>
    <t>&lt;em&gt;5.7.2.4.9. DD9&lt;/em&gt;</t>
  </si>
  <si>
    <t>&lt;em&gt;5.7.2.4.10. DD10&lt;/em&gt;</t>
  </si>
  <si>
    <t>&lt;em&gt;5.7.2.4.11. DD11&lt;/em&gt;</t>
  </si>
  <si>
    <t>&lt;em&gt;5.7.2.4.12. DD12&lt;/em&gt;</t>
  </si>
  <si>
    <t>&lt;em&gt;5.7.2.4.13. DD13&lt;/em&gt;</t>
  </si>
  <si>
    <t>&lt;em&gt;5.7.2.4.14. DD14&lt;/em&gt;</t>
  </si>
  <si>
    <t>&lt;em&gt;5.7.2.4.15. DD15&lt;/em&gt;</t>
  </si>
  <si>
    <t>&lt;em&gt;5.7.2.5. Canada ABC Market Size and Forecast, by Segment5 (2024-2032)&lt;/em&gt;</t>
  </si>
  <si>
    <t>&lt;em&gt;5.7.2.5.1. EE1&lt;/em&gt;</t>
  </si>
  <si>
    <t>&lt;em&gt;5.7.2.5.2. EE2&lt;/em&gt;</t>
  </si>
  <si>
    <t>&lt;em&gt;5.7.2.5.3. EE3&lt;/em&gt;</t>
  </si>
  <si>
    <t>&lt;em&gt;5.7.2.5.4. EE4&lt;/em&gt;</t>
  </si>
  <si>
    <t>&lt;em&gt;5.7.2.5.5. EE5&lt;/em&gt;</t>
  </si>
  <si>
    <t>&lt;em&gt;5.7.2.5.6. EE6&lt;/em&gt;</t>
  </si>
  <si>
    <t>&lt;em&gt;5.7.2.5.7. EE7&lt;/em&gt;</t>
  </si>
  <si>
    <t>&lt;em&gt;5.7.2.5.8. EE8&lt;/em&gt;</t>
  </si>
  <si>
    <t>&lt;em&gt;5.7.2.5.9. EE9&lt;/em&gt;</t>
  </si>
  <si>
    <t>&lt;em&gt;5.7.2.5.10. EE10&lt;/em&gt;</t>
  </si>
  <si>
    <t>&lt;em&gt;5.7.2.5.11. EE11&lt;/em&gt;</t>
  </si>
  <si>
    <t>&lt;em&gt;5.7.2.5.12. EE12&lt;/em&gt;</t>
  </si>
  <si>
    <t>&lt;em&gt;5.7.2.5.13. EE13&lt;/em&gt;</t>
  </si>
  <si>
    <t>&lt;em&gt;5.7.2.5.14. EE14&lt;/em&gt;</t>
  </si>
  <si>
    <t>&lt;em&gt;5.7.2.5.15. EE15&lt;/em&gt;</t>
  </si>
  <si>
    <t>&lt;em&gt;5.7.2.6. Canada ABC Market Size and Forecast, by Segment6 (2024-2032)&lt;/em&gt;</t>
  </si>
  <si>
    <t>&lt;em&gt;5.7.2.6.1. FF1&lt;/em&gt;</t>
  </si>
  <si>
    <t>&lt;em&gt;5.7.2.6.2. FF2&lt;/em&gt;</t>
  </si>
  <si>
    <t>&lt;em&gt;5.7.2.6.3. FF3&lt;/em&gt;</t>
  </si>
  <si>
    <t>&lt;em&gt;5.7.2.6.4. FF4&lt;/em&gt;</t>
  </si>
  <si>
    <t>&lt;em&gt;5.7.2.6.5. FF5&lt;/em&gt;</t>
  </si>
  <si>
    <t>&lt;em&gt;5.7.2.6.6. FF6&lt;/em&gt;</t>
  </si>
  <si>
    <t>&lt;em&gt;5.7.2.6.7. FF7&lt;/em&gt;</t>
  </si>
  <si>
    <t>&lt;em&gt;5.7.2.6.8. FF8&lt;/em&gt;</t>
  </si>
  <si>
    <t>&lt;em&gt;5.7.2.6.9. FF9&lt;/em&gt;</t>
  </si>
  <si>
    <t>&lt;em&gt;5.7.2.6.10. FF10&lt;/em&gt;</t>
  </si>
  <si>
    <t>&lt;em&gt;5.7.2.6.11. FF11&lt;/em&gt;</t>
  </si>
  <si>
    <t>&lt;em&gt;5.7.2.6.12. FF12&lt;/em&gt;</t>
  </si>
  <si>
    <t>&lt;em&gt;5.7.2.6.13. FF13&lt;/em&gt;</t>
  </si>
  <si>
    <t>&lt;em&gt;5.7.2.6.14. FF14&lt;/em&gt;</t>
  </si>
  <si>
    <t>&lt;em&gt;5.7.2.6.15. FF15&lt;/em&gt;</t>
  </si>
  <si>
    <t>&lt;strong&gt;&lt;em&gt;5.7.3. Mexico&lt;/em&gt;&lt;/strong&gt;</t>
  </si>
  <si>
    <t>&lt;em&gt;5.7.3.1. Mexico ABC Market Size and Forecast, by Segment1 (2024-2032)&lt;/em&gt;</t>
  </si>
  <si>
    <t>&lt;em&gt;5.7.3.1.1. AA1&lt;/em&gt;</t>
  </si>
  <si>
    <t>&lt;em&gt;5.7.3.1.2. AA2&lt;/em&gt;</t>
  </si>
  <si>
    <t>&lt;em&gt;5.7.3.1.3. AA3&lt;/em&gt;</t>
  </si>
  <si>
    <t>&lt;em&gt;5.7.3.1.4. AA4&lt;/em&gt;</t>
  </si>
  <si>
    <t>&lt;em&gt;5.7.3.1.5. AA5&lt;/em&gt;</t>
  </si>
  <si>
    <t>&lt;em&gt;5.7.3.1.6. AA6&lt;/em&gt;</t>
  </si>
  <si>
    <t>&lt;em&gt;5.7.3.1.7. AA7&lt;/em&gt;</t>
  </si>
  <si>
    <t>&lt;em&gt;5.7.3.1.8. AA8&lt;/em&gt;</t>
  </si>
  <si>
    <t>&lt;em&gt;5.7.3.1.9. AA9&lt;/em&gt;</t>
  </si>
  <si>
    <t>&lt;em&gt;5.7.3.1.10. AA10&lt;/em&gt;</t>
  </si>
  <si>
    <t>&lt;em&gt;5.7.3.1.11. AA11&lt;/em&gt;</t>
  </si>
  <si>
    <t>&lt;em&gt;5.7.3.1.12. AA12&lt;/em&gt;</t>
  </si>
  <si>
    <t>&lt;em&gt;5.7.3.1.13. AA13&lt;/em&gt;</t>
  </si>
  <si>
    <t>&lt;em&gt;5.7.3.1.14. AA14&lt;/em&gt;</t>
  </si>
  <si>
    <t>&lt;em&gt;5.7.3.1.15. AA15&lt;/em&gt;</t>
  </si>
  <si>
    <t>&lt;em&gt;5.7.3.2. Mexico ABC Market Size and Forecast, by Segment2 (2024-2032)&lt;/em&gt;</t>
  </si>
  <si>
    <t>&lt;em&gt;5.7.3.2.1. BB1&lt;/em&gt;</t>
  </si>
  <si>
    <t>&lt;em&gt;5.7.3.2.2. BB2&lt;/em&gt;</t>
  </si>
  <si>
    <t>&lt;em&gt;5.7.3.2.3. BB3&lt;/em&gt;</t>
  </si>
  <si>
    <t>&lt;em&gt;5.7.3.2.4. BB4&lt;/em&gt;</t>
  </si>
  <si>
    <t>&lt;em&gt;5.7.3.2.5. BB5&lt;/em&gt;</t>
  </si>
  <si>
    <t>&lt;em&gt;5.7.3.2.6. BB6&lt;/em&gt;</t>
  </si>
  <si>
    <t>&lt;em&gt;5.7.3.2.7. BB7&lt;/em&gt;</t>
  </si>
  <si>
    <t>&lt;em&gt;5.7.3.2.8. BB8&lt;/em&gt;</t>
  </si>
  <si>
    <t>&lt;em&gt;5.7.3.2.9. BB9&lt;/em&gt;</t>
  </si>
  <si>
    <t>&lt;em&gt;5.7.3.2.10. BB10&lt;/em&gt;</t>
  </si>
  <si>
    <t>&lt;em&gt;5.7.3.2.11. BB11&lt;/em&gt;</t>
  </si>
  <si>
    <t>&lt;em&gt;5.7.3.2.12. BB12&lt;/em&gt;</t>
  </si>
  <si>
    <t>&lt;em&gt;5.7.3.2.13. BB13&lt;/em&gt;</t>
  </si>
  <si>
    <t>&lt;em&gt;5.7.3.2.14. BB14&lt;/em&gt;</t>
  </si>
  <si>
    <t>&lt;em&gt;5.7.3.2.15. BB15&lt;/em&gt;</t>
  </si>
  <si>
    <t>&lt;em&gt;5.7.3.3. Mexico ABC Market Size and Forecast, by Segment3 (2024-2032)&lt;/em&gt;</t>
  </si>
  <si>
    <t>&lt;em&gt;5.7.3.3.1. CC1&lt;/em&gt;</t>
  </si>
  <si>
    <t>&lt;em&gt;5.7.3.3.2. CC2&lt;/em&gt;</t>
  </si>
  <si>
    <t>&lt;em&gt;5.7.3.3.3. CC3&lt;/em&gt;</t>
  </si>
  <si>
    <t>&lt;em&gt;5.7.3.3.4. CC4&lt;/em&gt;</t>
  </si>
  <si>
    <t>&lt;em&gt;5.7.3.3.5. CC5&lt;/em&gt;</t>
  </si>
  <si>
    <t>&lt;em&gt;5.7.3.3.6. CC6&lt;/em&gt;</t>
  </si>
  <si>
    <t>&lt;em&gt;5.7.3.3.7. CC7&lt;/em&gt;</t>
  </si>
  <si>
    <t>&lt;em&gt;5.7.3.3.8. CC8&lt;/em&gt;</t>
  </si>
  <si>
    <t>&lt;em&gt;5.7.3.3.9. CC9&lt;/em&gt;</t>
  </si>
  <si>
    <t>&lt;em&gt;5.7.3.3.10. CC10&lt;/em&gt;</t>
  </si>
  <si>
    <t>&lt;em&gt;5.7.3.3.11. CC11&lt;/em&gt;</t>
  </si>
  <si>
    <t>&lt;em&gt;5.7.3.3.12. CC12&lt;/em&gt;</t>
  </si>
  <si>
    <t>&lt;em&gt;5.7.3.3.13. CC13&lt;/em&gt;</t>
  </si>
  <si>
    <t>&lt;em&gt;5.7.3.3.14. CC14&lt;/em&gt;</t>
  </si>
  <si>
    <t>&lt;em&gt;5.7.3.3.15. CC15&lt;/em&gt;</t>
  </si>
  <si>
    <t>&lt;em&gt;5.7.3.4. Mexico ABC Market Size and Forecast, by Segment4 (2024-2032)&lt;/em&gt;</t>
  </si>
  <si>
    <t>&lt;em&gt;5.7.3.4.1. DD1&lt;/em&gt;</t>
  </si>
  <si>
    <t>&lt;em&gt;5.7.3.4.2. DD2&lt;/em&gt;</t>
  </si>
  <si>
    <t>&lt;em&gt;5.7.3.4.3. DD3&lt;/em&gt;</t>
  </si>
  <si>
    <t>&lt;em&gt;5.7.3.4.4. DD4&lt;/em&gt;</t>
  </si>
  <si>
    <t>&lt;em&gt;5.7.3.4.5. DD5&lt;/em&gt;</t>
  </si>
  <si>
    <t>&lt;em&gt;5.7.3.4.6. DD6&lt;/em&gt;</t>
  </si>
  <si>
    <t>&lt;em&gt;5.7.3.4.7. DD7&lt;/em&gt;</t>
  </si>
  <si>
    <t>&lt;em&gt;5.7.3.4.8. DD8&lt;/em&gt;</t>
  </si>
  <si>
    <t>&lt;em&gt;5.7.3.4.9. DD9&lt;/em&gt;</t>
  </si>
  <si>
    <t>&lt;em&gt;5.7.3.4.10. DD10&lt;/em&gt;</t>
  </si>
  <si>
    <t>&lt;em&gt;5.7.3.4.11. DD11&lt;/em&gt;</t>
  </si>
  <si>
    <t>&lt;em&gt;5.7.3.4.12. DD12&lt;/em&gt;</t>
  </si>
  <si>
    <t>&lt;em&gt;5.7.3.4.13. DD13&lt;/em&gt;</t>
  </si>
  <si>
    <t>&lt;em&gt;5.7.3.4.14. DD14&lt;/em&gt;</t>
  </si>
  <si>
    <t>&lt;em&gt;5.7.3.4.15. DD15&lt;/em&gt;</t>
  </si>
  <si>
    <t>&lt;em&gt;5.7.3.5. Mexico ABC Market Size and Forecast, by Segment5 (2024-2032)&lt;/em&gt;</t>
  </si>
  <si>
    <t>&lt;em&gt;5.7.3.5.1. EE1&lt;/em&gt;</t>
  </si>
  <si>
    <t>&lt;em&gt;5.7.3.5.2. EE2&lt;/em&gt;</t>
  </si>
  <si>
    <t>&lt;em&gt;5.7.3.5.3. EE3&lt;/em&gt;</t>
  </si>
  <si>
    <t>&lt;em&gt;5.7.3.5.4. EE4&lt;/em&gt;</t>
  </si>
  <si>
    <t>&lt;em&gt;5.7.3.5.5. EE5&lt;/em&gt;</t>
  </si>
  <si>
    <t>&lt;em&gt;5.7.3.5.6. EE6&lt;/em&gt;</t>
  </si>
  <si>
    <t>&lt;em&gt;5.7.3.5.7. EE7&lt;/em&gt;</t>
  </si>
  <si>
    <t>&lt;em&gt;5.7.3.5.8. EE8&lt;/em&gt;</t>
  </si>
  <si>
    <t>&lt;em&gt;5.7.3.5.9. EE9&lt;/em&gt;</t>
  </si>
  <si>
    <t>&lt;em&gt;5.7.3.5.10. EE10&lt;/em&gt;</t>
  </si>
  <si>
    <t>&lt;em&gt;5.7.3.5.11. EE11&lt;/em&gt;</t>
  </si>
  <si>
    <t>&lt;em&gt;5.7.3.5.12. EE12&lt;/em&gt;</t>
  </si>
  <si>
    <t>&lt;em&gt;5.7.3.5.13. EE13&lt;/em&gt;</t>
  </si>
  <si>
    <t>&lt;em&gt;5.7.3.5.14. EE14&lt;/em&gt;</t>
  </si>
  <si>
    <t>&lt;em&gt;5.7.3.5.15. EE15&lt;/em&gt;</t>
  </si>
  <si>
    <t>&lt;em&gt;5.7.3.6. Mexico ABC Market Size and Forecast, by Segment6 (2024-2032)&lt;/em&gt;</t>
  </si>
  <si>
    <t>&lt;em&gt;5.7.3.6.1. FF1&lt;/em&gt;</t>
  </si>
  <si>
    <t>&lt;em&gt;5.7.3.6.2. FF2&lt;/em&gt;</t>
  </si>
  <si>
    <t>&lt;em&gt;5.7.3.6.3. FF3&lt;/em&gt;</t>
  </si>
  <si>
    <t>&lt;em&gt;5.7.3.6.4. FF4&lt;/em&gt;</t>
  </si>
  <si>
    <t>&lt;em&gt;5.7.3.6.5. FF5&lt;/em&gt;</t>
  </si>
  <si>
    <t>&lt;em&gt;5.7.3.6.6. FF6&lt;/em&gt;</t>
  </si>
  <si>
    <t>&lt;em&gt;5.7.3.6.7. FF7&lt;/em&gt;</t>
  </si>
  <si>
    <t>&lt;em&gt;5.7.3.6.8. FF8&lt;/em&gt;</t>
  </si>
  <si>
    <t>&lt;em&gt;5.7.3.6.9. FF9&lt;/em&gt;</t>
  </si>
  <si>
    <t>&lt;em&gt;5.7.3.6.10. FF10&lt;/em&gt;</t>
  </si>
  <si>
    <t>&lt;em&gt;5.7.3.6.11. FF11&lt;/em&gt;</t>
  </si>
  <si>
    <t>&lt;em&gt;5.7.3.6.12. FF12&lt;/em&gt;</t>
  </si>
  <si>
    <t>&lt;em&gt;5.7.3.6.13. FF13&lt;/em&gt;</t>
  </si>
  <si>
    <t>&lt;em&gt;5.7.3.6.14. FF14&lt;/em&gt;</t>
  </si>
  <si>
    <t>&lt;em&gt;5.7.3.6.15. FF15&lt;/em&gt;</t>
  </si>
  <si>
    <t>6.7. Europe ABC Market Size and Forecast, by Country (2024-2032)</t>
  </si>
  <si>
    <t>&lt;strong&gt;&lt;em&gt;6.7.1. United Kingdom&lt;/em&gt;&lt;/strong&gt;</t>
  </si>
  <si>
    <t>&lt;em&gt;6.7.1.1. United Kingdom ABC Market Size and Forecast, by Segment1 (2024-2032)&lt;/em&gt;</t>
  </si>
  <si>
    <t>&lt;em&gt;6.7.1.2. United Kingdom ABC Market Size and Forecast, by Segment2 (2024-2032)&lt;/em&gt;</t>
  </si>
  <si>
    <t>&lt;em&gt;6.7.1.3. United Kingdom ABC Market Size and Forecast, by Segment3 (2024-2032)&lt;/em&gt;</t>
  </si>
  <si>
    <t>&lt;em&gt;6.7.1.4. United Kingdom ABC Market Size and Forecast, by Segment4 (2024-2032)&lt;/em&gt;</t>
  </si>
  <si>
    <t>&lt;em&gt;6.7.1.5. United Kingdom ABC Market Size and Forecast, by Segment5 (2024-2032)&lt;/em&gt;</t>
  </si>
  <si>
    <t>&lt;em&gt;6.7.1.6. United Kingdom ABC Market Size and Forecast, by Segment6 (2024-2032)&lt;/em&gt;</t>
  </si>
  <si>
    <t>&lt;strong&gt;&lt;em&gt;6.7.2. France&lt;/em&gt;&lt;/strong&gt;</t>
  </si>
  <si>
    <t>&lt;em&gt;6.7.2.1. France ABC Market Size and Forecast, by Segment1 (2024-2032)&lt;/em&gt;</t>
  </si>
  <si>
    <t>&lt;em&gt;6.7.2.2. France ABC Market Size and Forecast, by Segment2 (2024-2032)&lt;/em&gt;</t>
  </si>
  <si>
    <t>&lt;em&gt;6.7.2.3. France ABC Market Size and Forecast, by Segment3 (2024-2032)&lt;/em&gt;</t>
  </si>
  <si>
    <t>&lt;em&gt;6.7.2.4. France ABC Market Size and Forecast, by Segment4 (2024-2032)&lt;/em&gt;</t>
  </si>
  <si>
    <t>&lt;em&gt;6.7.2.5. France ABC Market Size and Forecast, by Segment5 (2024-2032)&lt;/em&gt;</t>
  </si>
  <si>
    <t>&lt;em&gt;6.7.2.6. France ABC Market Size and Forecast, by Segment6 (2024-2032)&lt;/em&gt;</t>
  </si>
  <si>
    <t>&lt;strong&gt;&lt;em&gt;6.7.3. Germany&lt;/em&gt;&lt;/strong&gt;</t>
  </si>
  <si>
    <t>&lt;em&gt;6.7.3.1. Germany ABC Market Size and Forecast, by Segment1 (2024-2032)&lt;/em&gt;</t>
  </si>
  <si>
    <t>&lt;em&gt;6.7.3.2. Germany ABC Market Size and Forecast, by Segment2 (2024-2032)&lt;/em&gt;</t>
  </si>
  <si>
    <t>&lt;em&gt;6.7.3.3. Germany ABC Market Size and Forecast, by Segment3 (2024-2032)&lt;/em&gt;</t>
  </si>
  <si>
    <t>&lt;em&gt;6.7.3.4. Germany ABC Market Size and Forecast, by Segment4 (2024-2032)&lt;/em&gt;</t>
  </si>
  <si>
    <t>&lt;em&gt;6.7.3.5. Germany ABC Market Size and Forecast, by Segment5 (2024-2032)&lt;/em&gt;</t>
  </si>
  <si>
    <t>&lt;em&gt;6.7.3.6. Germany ABC Market Size and Forecast, by Segment6 (2024-2032)&lt;/em&gt;</t>
  </si>
  <si>
    <t>&lt;strong&gt;&lt;em&gt;6.7.4. Italy&lt;/em&gt;&lt;/strong&gt;</t>
  </si>
  <si>
    <t>&lt;em&gt;6.7.4.1. Italy ABC Market Size and Forecast, by Segment1 (2024-2032)&lt;/em&gt;</t>
  </si>
  <si>
    <t>&lt;em&gt;6.7.4.2. Italy ABC Market Size and Forecast, by Segment2 (2024-2032)&lt;/em&gt;</t>
  </si>
  <si>
    <t>&lt;em&gt;6.7.4.3. Italy ABC Market Size and Forecast, by Segment3 (2024-2032)&lt;/em&gt;</t>
  </si>
  <si>
    <t>&lt;em&gt;6.7.4.4. Italy ABC Market Size and Forecast, by Segment4 (2024-2032)&lt;/em&gt;</t>
  </si>
  <si>
    <t>&lt;em&gt;6.7.4.5. Italy ABC Market Size and Forecast, by Segment5 (2024-2032)&lt;/em&gt;</t>
  </si>
  <si>
    <t>&lt;em&gt;6.7.4.6. Italy ABC Market Size and Forecast, by Segment6 (2024-2032)&lt;/em&gt;</t>
  </si>
  <si>
    <t>&lt;strong&gt;&lt;em&gt;6.7.5. Spain&lt;/em&gt;&lt;/strong&gt;</t>
  </si>
  <si>
    <t>&lt;em&gt;6.7.5.1. Spain ABC Market Size and Forecast, by Segment1 (2024-2032)&lt;/em&gt;</t>
  </si>
  <si>
    <t>&lt;em&gt;6.7.5.2. Spain ABC Market Size and Forecast, by Segment2 (2024-2032)&lt;/em&gt;</t>
  </si>
  <si>
    <t>&lt;em&gt;6.7.5.3. Spain ABC Market Size and Forecast, by Segment3 (2024-2032)&lt;/em&gt;</t>
  </si>
  <si>
    <t>&lt;em&gt;6.7.5.4. Spain ABC Market Size and Forecast, by Segment4 (2024-2032)&lt;/em&gt;</t>
  </si>
  <si>
    <t>&lt;em&gt;6.7.5.5. Spain ABC Market Size and Forecast, by Segment5 (2024-2032)&lt;/em&gt;</t>
  </si>
  <si>
    <t>&lt;em&gt;6.7.5.6. Spain ABC Market Size and Forecast, by Segment6 (2024-2032)&lt;/em&gt;</t>
  </si>
  <si>
    <t>&lt;strong&gt;&lt;em&gt;6.7.6. Sweden&lt;/em&gt;&lt;/strong&gt;</t>
  </si>
  <si>
    <t>&lt;em&gt;6.7.6.1. Sweden ABC Market Size and Forecast, by Segment1 (2024-2032)&lt;/em&gt;</t>
  </si>
  <si>
    <t>&lt;em&gt;6.7.6.2. Sweden ABC Market Size and Forecast, by Segment2 (2024-2032)&lt;/em&gt;</t>
  </si>
  <si>
    <t>&lt;em&gt;6.7.6.3. Sweden ABC Market Size and Forecast, by Segment3 (2024-2032)&lt;/em&gt;</t>
  </si>
  <si>
    <t>&lt;em&gt;6.7.6.4. Sweden ABC Market Size and Forecast, by Segment4 (2024-2032)&lt;/em&gt;</t>
  </si>
  <si>
    <t>&lt;em&gt;6.7.6.5. Sweden ABC Market Size and Forecast, by Segment5 (2024-2032)&lt;/em&gt;</t>
  </si>
  <si>
    <t>&lt;em&gt;6.7.6.6. Sweden ABC Market Size and Forecast, by Segment6 (2024-2032)&lt;/em&gt;</t>
  </si>
  <si>
    <t>&lt;strong&gt;&lt;em&gt;6.7.7. Austria&lt;/em&gt;&lt;/strong&gt;</t>
  </si>
  <si>
    <t>&lt;em&gt;6.7.7.1. Austria ABC Market Size and Forecast, by Segment1 (2024-2032)&lt;/em&gt;</t>
  </si>
  <si>
    <t>&lt;em&gt;6.7.7.2. Austria ABC Market Size and Forecast, by Segment2 (2024-2032)&lt;/em&gt;</t>
  </si>
  <si>
    <t>&lt;em&gt;6.7.7.3. Austria ABC Market Size and Forecast, by Segment3 (2024-2032)&lt;/em&gt;</t>
  </si>
  <si>
    <t>&lt;em&gt;6.7.7.4. Austria ABC Market Size and Forecast, by Segment4 (2024-2032)&lt;/em&gt;</t>
  </si>
  <si>
    <t>&lt;em&gt;6.7.7.5. Austria ABC Market Size and Forecast, by Segment5 (2024-2032)&lt;/em&gt;</t>
  </si>
  <si>
    <t>&lt;em&gt;6.7.7.6. Austria ABC Market Size and Forecast, by Segment6 (2024-2032)&lt;/em&gt;</t>
  </si>
  <si>
    <t>&lt;strong&gt;&lt;em&gt;6.7.8. Rest of Europe&lt;/em&gt;&lt;/strong&gt;</t>
  </si>
  <si>
    <t>&lt;em&gt;6.7.8.1. Rest of Europe ABC Market Size and Forecast, by Segment1 (2024-2032)&lt;/em&gt;</t>
  </si>
  <si>
    <t>&lt;em&gt;6.7.8.2. Rest of Europe ABC Market Size and Forecast, by Segment2 (2024-2032)&lt;/em&gt;</t>
  </si>
  <si>
    <t>&lt;em&gt;6.7.8.3. Rest of Europe ABC Market Size and Forecast, by Segment3 (2024-2032)&lt;/em&gt;</t>
  </si>
  <si>
    <t>&lt;em&gt;6.7.8.4. Rest of Europe ABC Market Size and Forecast, by Segment4 (2024-2032)&lt;/em&gt;</t>
  </si>
  <si>
    <t>&lt;em&gt;6.7.8.5. Rest of Europe ABC Market Size and Forecast, by Segment5 (2024-2032)&lt;/em&gt;</t>
  </si>
  <si>
    <t>&lt;em&gt;6.7.8.6. Rest of Europe ABC Market Size and Forecast, by Segment6 (2024-2032)&lt;/em&gt;</t>
  </si>
  <si>
    <t>7.7. Asia Pacific ABC Market Size and Forecast, by Country (2024-2032)</t>
  </si>
  <si>
    <t>&lt;strong&gt;&lt;em&gt;7.7.1. China&lt;/em&gt;&lt;/strong&gt;</t>
  </si>
  <si>
    <t>&lt;em&gt;7.7.1.1. China ABC Market Size and Forecast, by Segment1 (2024-2032)&lt;/em&gt;</t>
  </si>
  <si>
    <t>&lt;em&gt;7.7.1.2. China ABC Market Size and Forecast, by Segment2 (2024-2032)&lt;/em&gt;</t>
  </si>
  <si>
    <t>&lt;em&gt;7.7.1.3. China ABC Market Size and Forecast, by Segment3 (2024-2032)&lt;/em&gt;</t>
  </si>
  <si>
    <t>&lt;em&gt;7.7.1.4. China ABC Market Size and Forecast, by Segment4 (2024-2032)&lt;/em&gt;</t>
  </si>
  <si>
    <t>&lt;em&gt;7.7.1.5. China ABC Market Size and Forecast, by Segment5 (2024-2032)&lt;/em&gt;</t>
  </si>
  <si>
    <t>&lt;em&gt;7.7.1.6. China ABC Market Size and Forecast, by Segment6 (2024-2032)&lt;/em&gt;</t>
  </si>
  <si>
    <t>&lt;strong&gt;&lt;em&gt;7.7.2. S Korea&lt;/em&gt;&lt;/strong&gt;</t>
  </si>
  <si>
    <t>&lt;em&gt;7.7.2.1. S Korea ABC Market Size and Forecast, by Segment1 (2024-2032)&lt;/em&gt;</t>
  </si>
  <si>
    <t>&lt;em&gt;7.7.2.2. S Korea ABC Market Size and Forecast, by Segment2 (2024-2032)&lt;/em&gt;</t>
  </si>
  <si>
    <t>&lt;em&gt;7.7.2.3. S Korea ABC Market Size and Forecast, by Segment3 (2024-2032)&lt;/em&gt;</t>
  </si>
  <si>
    <t>&lt;em&gt;7.7.2.4. S Korea ABC Market Size and Forecast, by Segment4 (2024-2032)&lt;/em&gt;</t>
  </si>
  <si>
    <t>&lt;em&gt;7.7.2.5. S Korea ABC Market Size and Forecast, by Segment5 (2024-2032)&lt;/em&gt;</t>
  </si>
  <si>
    <t>&lt;em&gt;7.7.2.6. S Korea ABC Market Size and Forecast, by Segment6 (2024-2032)&lt;/em&gt;</t>
  </si>
  <si>
    <t>&lt;strong&gt;&lt;em&gt;7.7.3. Japan&lt;/em&gt;&lt;/strong&gt;</t>
  </si>
  <si>
    <t>&lt;em&gt;7.7.3.1. Japan ABC Market Size and Forecast, by Segment1 (2024-2032)&lt;/em&gt;</t>
  </si>
  <si>
    <t>&lt;em&gt;7.7.3.2. Japan ABC Market Size and Forecast, by Segment2 (2024-2032)&lt;/em&gt;</t>
  </si>
  <si>
    <t>&lt;em&gt;7.7.3.3. Japan ABC Market Size and Forecast, by Segment3 (2024-2032)&lt;/em&gt;</t>
  </si>
  <si>
    <t>&lt;em&gt;7.7.3.4. Japan ABC Market Size and Forecast, by Segment4 (2024-2032)&lt;/em&gt;</t>
  </si>
  <si>
    <t>&lt;em&gt;7.7.3.5. Japan ABC Market Size and Forecast, by Segment5 (2024-2032)&lt;/em&gt;</t>
  </si>
  <si>
    <t>&lt;em&gt;7.7.3.6. Japan ABC Market Size and Forecast, by Segment6 (2024-2032)&lt;/em&gt;</t>
  </si>
  <si>
    <t>&lt;strong&gt;&lt;em&gt;7.7.4. India&lt;/em&gt;&lt;/strong&gt;</t>
  </si>
  <si>
    <t>&lt;em&gt;7.7.4.1. India ABC Market Size and Forecast, by Segment1 (2024-2032)&lt;/em&gt;</t>
  </si>
  <si>
    <t>&lt;em&gt;7.7.4.2. India ABC Market Size and Forecast, by Segment2 (2024-2032)&lt;/em&gt;</t>
  </si>
  <si>
    <t>&lt;em&gt;7.7.4.3. India ABC Market Size and Forecast, by Segment3 (2024-2032)&lt;/em&gt;</t>
  </si>
  <si>
    <t>&lt;em&gt;7.7.4.4. India ABC Market Size and Forecast, by Segment4 (2024-2032)&lt;/em&gt;</t>
  </si>
  <si>
    <t>&lt;em&gt;7.7.4.5. India ABC Market Size and Forecast, by Segment5 (2024-2032)&lt;/em&gt;</t>
  </si>
  <si>
    <t>&lt;em&gt;7.7.4.6. India ABC Market Size and Forecast, by Segment6 (2024-2032)&lt;/em&gt;</t>
  </si>
  <si>
    <t>&lt;strong&gt;&lt;em&gt;7.7.5. Australia&lt;/em&gt;&lt;/strong&gt;</t>
  </si>
  <si>
    <t>&lt;em&gt;7.7.5.1. Australia ABC Market Size and Forecast, by Segment1 (2024-2032)&lt;/em&gt;</t>
  </si>
  <si>
    <t>&lt;em&gt;7.7.5.2. Australia ABC Market Size and Forecast, by Segment2 (2024-2032)&lt;/em&gt;</t>
  </si>
  <si>
    <t>&lt;em&gt;7.7.5.3. Australia ABC Market Size and Forecast, by Segment3 (2024-2032)&lt;/em&gt;</t>
  </si>
  <si>
    <t>&lt;em&gt;7.7.5.4. Australia ABC Market Size and Forecast, by Segment4 (2024-2032)&lt;/em&gt;</t>
  </si>
  <si>
    <t>&lt;em&gt;7.7.5.5. Australia ABC Market Size and Forecast, by Segment5 (2024-2032)&lt;/em&gt;</t>
  </si>
  <si>
    <t>&lt;em&gt;7.7.5.6. Australia ABC Market Size and Forecast, by Segment6 (2024-2032)&lt;/em&gt;</t>
  </si>
  <si>
    <t>&lt;strong&gt;&lt;em&gt;7.7.6. Indonesia&lt;/em&gt;&lt;/strong&gt;</t>
  </si>
  <si>
    <t>&lt;em&gt;7.7.6.1. Indonesia ABC Market Size and Forecast, by Segment1 (2024-2032)&lt;/em&gt;</t>
  </si>
  <si>
    <t>&lt;em&gt;7.7.6.2. Indonesia ABC Market Size and Forecast, by Segment2 (2024-2032)&lt;/em&gt;</t>
  </si>
  <si>
    <t>&lt;em&gt;7.7.6.3. Indonesia ABC Market Size and Forecast, by Segment3 (2024-2032)&lt;/em&gt;</t>
  </si>
  <si>
    <t>&lt;em&gt;7.7.6.4. Indonesia ABC Market Size and Forecast, by Segment4 (2024-2032)&lt;/em&gt;</t>
  </si>
  <si>
    <t>&lt;em&gt;7.7.6.5. Indonesia ABC Market Size and Forecast, by Segment5 (2024-2032)&lt;/em&gt;</t>
  </si>
  <si>
    <t>&lt;em&gt;7.7.6.6. Indonesia ABC Market Size and Forecast, by Segment6 (2024-2032)&lt;/em&gt;</t>
  </si>
  <si>
    <t>&lt;strong&gt;&lt;em&gt;7.7.7. Malaysia&lt;/em&gt;&lt;/strong&gt;</t>
  </si>
  <si>
    <t>&lt;em&gt;7.7.7.1. Malaysia ABC Market Size and Forecast, by Segment1 (2024-2032)&lt;/em&gt;</t>
  </si>
  <si>
    <t>&lt;em&gt;7.7.7.2. Malaysia ABC Market Size and Forecast, by Segment2 (2024-2032)&lt;/em&gt;</t>
  </si>
  <si>
    <t>&lt;em&gt;7.7.7.3. Malaysia ABC Market Size and Forecast, by Segment3 (2024-2032)&lt;/em&gt;</t>
  </si>
  <si>
    <t>&lt;em&gt;7.7.7.4. Malaysia ABC Market Size and Forecast, by Segment4 (2024-2032)&lt;/em&gt;</t>
  </si>
  <si>
    <t>&lt;em&gt;7.7.7.5. Malaysia ABC Market Size and Forecast, by Segment5 (2024-2032)&lt;/em&gt;</t>
  </si>
  <si>
    <t>&lt;em&gt;7.7.7.6. Malaysia ABC Market Size and Forecast, by Segment6 (2024-2032)&lt;/em&gt;</t>
  </si>
  <si>
    <t>&lt;strong&gt;&lt;em&gt;7.7.8. Vietnam&lt;/em&gt;&lt;/strong&gt;</t>
  </si>
  <si>
    <t>&lt;em&gt;7.7.8.1. Vietnam ABC Market Size and Forecast, by Segment1 (2024-2032)&lt;/em&gt;</t>
  </si>
  <si>
    <t>&lt;em&gt;7.7.8.2. Vietnam ABC Market Size and Forecast, by Segment2 (2024-2032)&lt;/em&gt;</t>
  </si>
  <si>
    <t>&lt;em&gt;7.7.8.3. Vietnam ABC Market Size and Forecast, by Segment3 (2024-2032)&lt;/em&gt;</t>
  </si>
  <si>
    <t>&lt;em&gt;7.7.8.4. Vietnam ABC Market Size and Forecast, by Segment4 (2024-2032)&lt;/em&gt;</t>
  </si>
  <si>
    <t>&lt;em&gt;7.7.8.5. Vietnam ABC Market Size and Forecast, by Segment5 (2024-2032)&lt;/em&gt;</t>
  </si>
  <si>
    <t>&lt;em&gt;7.7.8.6. Vietnam ABC Market Size and Forecast, by Segment6 (2024-2032)&lt;/em&gt;</t>
  </si>
  <si>
    <t>&lt;strong&gt;&lt;em&gt;7.7.9. Taiwan&lt;/em&gt;&lt;/strong&gt;</t>
  </si>
  <si>
    <t>&lt;em&gt;7.7.9.1. Taiwan ABC Market Size and Forecast, by Segment1 (2024-2032)&lt;/em&gt;</t>
  </si>
  <si>
    <t>&lt;em&gt;7.7.9.2. Taiwan ABC Market Size and Forecast, by Segment2 (2024-2032)&lt;/em&gt;</t>
  </si>
  <si>
    <t>&lt;em&gt;7.7.9.3. Taiwan ABC Market Size and Forecast, by Segment3 (2024-2032)&lt;/em&gt;</t>
  </si>
  <si>
    <t>&lt;em&gt;7.7.9.4. Taiwan ABC Market Size and Forecast, by Segment4 (2024-2032)&lt;/em&gt;</t>
  </si>
  <si>
    <t>&lt;em&gt;7.7.9.5. Taiwan ABC Market Size and Forecast, by Segment5 (2024-2032)&lt;/em&gt;</t>
  </si>
  <si>
    <t>&lt;em&gt;7.7.9.6. Taiwan ABC Market Size and Forecast, by Segment6 (2024-2032)&lt;/em&gt;</t>
  </si>
  <si>
    <t>&lt;strong&gt;&lt;em&gt;7.7.10. Rest of Asia Pacific&lt;/em&gt;&lt;/strong&gt;</t>
  </si>
  <si>
    <t>&lt;em&gt;7.7.10.1. Rest of Asia Pacific ABC Market Size and Forecast, by Segment1 (2024-2032)&lt;/em&gt;</t>
  </si>
  <si>
    <t>&lt;em&gt;7.7.10.2. Rest of Asia Pacific ABC Market Size and Forecast, by Segment2 (2024-2032)&lt;/em&gt;</t>
  </si>
  <si>
    <t>&lt;em&gt;7.7.10.3. Rest of Asia Pacific ABC Market Size and Forecast, by Segment3 (2024-2032)&lt;/em&gt;</t>
  </si>
  <si>
    <t>&lt;em&gt;7.7.10.4. Rest of Asia Pacific ABC Market Size and Forecast, by Segment4 (2024-2032)&lt;/em&gt;</t>
  </si>
  <si>
    <t>&lt;em&gt;7.7.10.5. Rest of Asia Pacific ABC Market Size and Forecast, by Segment5 (2024-2032)&lt;/em&gt;</t>
  </si>
  <si>
    <t>&lt;em&gt;7.7.10.6. Rest of Asia Pacific ABC Market Size and Forecast, by Segment6 (2024-2032)&lt;/em&gt;</t>
  </si>
  <si>
    <t>8.7. Middle East and Africa ABC Market Size and Forecast, by Country (2024-2032)</t>
  </si>
  <si>
    <t>&lt;strong&gt;&lt;em&gt;8.7.1. South Africa&lt;/em&gt;&lt;/strong&gt;</t>
  </si>
  <si>
    <t>&lt;em&gt;8.7.1.1. South Africa ABC Market Size and Forecast, by Segment1 (2024-2032)&lt;/em&gt;</t>
  </si>
  <si>
    <t>&lt;em&gt;8.7.1.2. South Africa ABC Market Size and Forecast, by Segment2 (2024-2032)&lt;/em&gt;</t>
  </si>
  <si>
    <t>&lt;em&gt;8.7.1.3. South Africa ABC Market Size and Forecast, by Segment3 (2024-2032)&lt;/em&gt;</t>
  </si>
  <si>
    <t>&lt;em&gt;8.7.1.4. South Africa ABC Market Size and Forecast, by Segment4 (2024-2032)&lt;/em&gt;</t>
  </si>
  <si>
    <t>&lt;em&gt;8.7.1.5. South Africa ABC Market Size and Forecast, by Segment5 (2024-2032)&lt;/em&gt;</t>
  </si>
  <si>
    <t>&lt;em&gt;8.7.1.6. South Africa ABC Market Size and Forecast, by Segment6 (2024-2032)&lt;/em&gt;</t>
  </si>
  <si>
    <t>&lt;strong&gt;&lt;em&gt;8.7.2. GCC&lt;/em&gt;&lt;/strong&gt;</t>
  </si>
  <si>
    <t>&lt;em&gt;8.7.2.1. GCC ABC Market Size and Forecast, by Segment1 (2024-2032)&lt;/em&gt;</t>
  </si>
  <si>
    <t>&lt;em&gt;8.7.2.2. GCC ABC Market Size and Forecast, by Segment2 (2024-2032)&lt;/em&gt;</t>
  </si>
  <si>
    <t>&lt;em&gt;8.7.2.3. GCC ABC Market Size and Forecast, by Segment3 (2024-2032)&lt;/em&gt;</t>
  </si>
  <si>
    <t>&lt;em&gt;8.7.2.4. GCC ABC Market Size and Forecast, by Segment4 (2024-2032)&lt;/em&gt;</t>
  </si>
  <si>
    <t>&lt;em&gt;8.7.2.5. GCC ABC Market Size and Forecast, by Segment5 (2024-2032)&lt;/em&gt;</t>
  </si>
  <si>
    <t>&lt;em&gt;8.7.2.6. GCC ABC Market Size and Forecast, by Segment6 (2024-2032)&lt;/em&gt;</t>
  </si>
  <si>
    <t>&lt;strong&gt;&lt;em&gt;8.7.3. Nigeria&lt;/em&gt;&lt;/strong&gt;</t>
  </si>
  <si>
    <t>&lt;em&gt;8.7.3.1. Nigeria ABC Market Size and Forecast, by Segment1 (2024-2032)&lt;/em&gt;</t>
  </si>
  <si>
    <t>&lt;em&gt;8.7.3.2. Nigeria ABC Market Size and Forecast, by Segment2 (2024-2032)&lt;/em&gt;</t>
  </si>
  <si>
    <t>&lt;em&gt;8.7.3.3. Nigeria ABC Market Size and Forecast, by Segment3 (2024-2032)&lt;/em&gt;</t>
  </si>
  <si>
    <t>&lt;em&gt;8.7.3.4. Nigeria ABC Market Size and Forecast, by Segment4 (2024-2032)&lt;/em&gt;</t>
  </si>
  <si>
    <t>&lt;em&gt;8.7.3.5. Nigeria ABC Market Size and Forecast, by Segment5 (2024-2032)&lt;/em&gt;</t>
  </si>
  <si>
    <t>&lt;em&gt;8.7.3.6. Nigeria ABC Market Size and Forecast, by Segment6 (2024-2032)&lt;/em&gt;</t>
  </si>
  <si>
    <t>&lt;strong&gt;&lt;em&gt;8.7.4. Rest of ME&amp;amp;A&lt;/em&gt;&lt;/strong&gt;</t>
  </si>
  <si>
    <t>&lt;em&gt;8.7.4.1. Rest of ME&amp;amp;A ABC Market Size and Forecast, by Segment1 (2024-2032)&lt;/em&gt;</t>
  </si>
  <si>
    <t>&lt;em&gt;8.7.4.2. Rest of ME&amp;amp;A ABC Market Size and Forecast, by Segment2 (2024-2032)&lt;/em&gt;</t>
  </si>
  <si>
    <t>&lt;em&gt;8.7.4.3. Rest of ME&amp;amp;A ABC Market Size and Forecast, by Segment3 (2024-2032)&lt;/em&gt;</t>
  </si>
  <si>
    <t>&lt;em&gt;8.7.4.4. Rest of ME&amp;amp;A ABC Market Size and Forecast, by Segment4 (2024-2032)&lt;/em&gt;</t>
  </si>
  <si>
    <t>&lt;em&gt;8.7.4.5. Rest of ME&amp;amp;A ABC Market Size and Forecast, by Segment5 (2024-2032)&lt;/em&gt;</t>
  </si>
  <si>
    <t>&lt;em&gt;8.7.4.6. Rest of ME&amp;amp;A ABC Market Size and Forecast, by Segment6 (2024-2032)&lt;/em&gt;</t>
  </si>
  <si>
    <t>9.7. South America ABC Market Size and Forecast, by Country (2024-2032)</t>
  </si>
  <si>
    <t>&lt;strong&gt;&lt;em&gt;9.7.1. Brazil&lt;/em&gt;&lt;/strong&gt;</t>
  </si>
  <si>
    <t>&lt;em&gt;9.7.1.1. Brazil ABC Market Size and Forecast, by Segment1 (2024-2032)&lt;/em&gt;</t>
  </si>
  <si>
    <t>&lt;em&gt;9.7.1.2. Brazil ABC Market Size and Forecast, by Segment2 (2024-2032)&lt;/em&gt;</t>
  </si>
  <si>
    <t>&lt;em&gt;9.7.1.3. Brazil ABC Market Size and Forecast, by Segment3 (2024-2032)&lt;/em&gt;</t>
  </si>
  <si>
    <t>&lt;em&gt;9.7.1.4. Brazil ABC Market Size and Forecast, by Segment4 (2024-2032)&lt;/em&gt;</t>
  </si>
  <si>
    <t>&lt;em&gt;9.7.1.5. Brazil ABC Market Size and Forecast, by Segment5 (2024-2032)&lt;/em&gt;</t>
  </si>
  <si>
    <t>&lt;em&gt;9.7.1.6. Brazil ABC Market Size and Forecast, by Segment6 (2024-2032)&lt;/em&gt;</t>
  </si>
  <si>
    <t>&lt;strong&gt;&lt;em&gt;9.7.2. Argentina&lt;/em&gt;&lt;/strong&gt;</t>
  </si>
  <si>
    <t>&lt;em&gt;9.7.2.1. Argentina ABC Market Size and Forecast, by Segment1 (2024-2032)&lt;/em&gt;</t>
  </si>
  <si>
    <t>&lt;em&gt;9.7.2.2. Argentina ABC Market Size and Forecast, by Segment2 (2024-2032)&lt;/em&gt;</t>
  </si>
  <si>
    <t>&lt;em&gt;9.7.2.3. Argentina ABC Market Size and Forecast, by Segment3 (2024-2032)&lt;/em&gt;</t>
  </si>
  <si>
    <t>&lt;em&gt;9.7.2.4. Argentina ABC Market Size and Forecast, by Segment4 (2024-2032)&lt;/em&gt;</t>
  </si>
  <si>
    <t>&lt;em&gt;9.7.2.5. Argentina ABC Market Size and Forecast, by Segment5 (2024-2032)&lt;/em&gt;</t>
  </si>
  <si>
    <t>&lt;em&gt;9.7.2.6. Argentina ABC Market Size and Forecast, by Segment6 (2024-2032)&lt;/em&gt;</t>
  </si>
  <si>
    <t>&lt;strong&gt;&lt;em&gt;9.7.3. Rest Of South America&lt;/em&gt;&lt;/strong&gt;</t>
  </si>
  <si>
    <t>&lt;em&gt;9.7.3.1. Rest Of South America ABC Market Size and Forecast, by Segment1 (2024-2032)&lt;/em&gt;</t>
  </si>
  <si>
    <t>&lt;em&gt;9.7.3.2. Rest Of South America ABC Market Size and Forecast, by Segment2 (2024-2032)&lt;/em&gt;</t>
  </si>
  <si>
    <t>&lt;em&gt;9.7.3.3. Rest Of South America ABC Market Size and Forecast, by Segment3 (2024-2032)&lt;/em&gt;</t>
  </si>
  <si>
    <t>&lt;em&gt;9.7.3.4. Rest Of South America ABC Market Size and Forecast, by Segment4 (2024-2032)&lt;/em&gt;</t>
  </si>
  <si>
    <t>&lt;em&gt;9.7.3.5. Rest Of South America ABC Market Size and Forecast, by Segment5 (2024-2032)&lt;/em&gt;</t>
  </si>
  <si>
    <t>&lt;em&gt;9.7.3.6. Rest Of South America ABC Market Size and Forecast, by Segment6 (2024-2032)&lt;/em&gt;</t>
  </si>
  <si>
    <t>4.6. ABC Market Size and Forecast, by Region (2024-2032)</t>
  </si>
  <si>
    <t>&lt;em&gt;4.6.1. North America&lt;/em&gt;</t>
  </si>
  <si>
    <t>&lt;em&gt;4.6.2. Europe&lt;/em&gt;</t>
  </si>
  <si>
    <t>&lt;em&gt;4.6.3. Asia Pacific&lt;/em&gt;</t>
  </si>
  <si>
    <t>&lt;em&gt;4.6.4. Middle East and Africa&lt;/em&gt;</t>
  </si>
  <si>
    <t>&lt;em&gt;4.6.5. South America&lt;/em&gt;</t>
  </si>
  <si>
    <t>5.6. North America ABC Market Size and Forecast, by Country (2024-2032)</t>
  </si>
  <si>
    <t>&lt;strong&gt;&lt;em&gt;5.6.1. United States&lt;/em&gt;&lt;/strong&gt;</t>
  </si>
  <si>
    <t>&lt;em&gt;5.6.1.1. United States ABC Market Size and Forecast, by Segment1 (2024-2032)&lt;/em&gt;</t>
  </si>
  <si>
    <t>&lt;em&gt;5.6.1.1.1. AA1&lt;/em&gt;</t>
  </si>
  <si>
    <t>&lt;em&gt;5.6.1.1.2. AA2&lt;/em&gt;</t>
  </si>
  <si>
    <t>&lt;em&gt;5.6.1.1.3. AA3&lt;/em&gt;</t>
  </si>
  <si>
    <t>&lt;em&gt;5.6.1.1.4. AA4&lt;/em&gt;</t>
  </si>
  <si>
    <t>&lt;em&gt;5.6.1.1.5. AA5&lt;/em&gt;</t>
  </si>
  <si>
    <t>&lt;em&gt;5.6.1.1.6. AA6&lt;/em&gt;</t>
  </si>
  <si>
    <t>&lt;em&gt;5.6.1.1.7. AA7&lt;/em&gt;</t>
  </si>
  <si>
    <t>&lt;em&gt;5.6.1.1.8. AA8&lt;/em&gt;</t>
  </si>
  <si>
    <t>&lt;em&gt;5.6.1.1.9. AA9&lt;/em&gt;</t>
  </si>
  <si>
    <t>&lt;em&gt;5.6.1.1.10. AA10&lt;/em&gt;</t>
  </si>
  <si>
    <t>&lt;em&gt;5.6.1.1.11. AA11&lt;/em&gt;</t>
  </si>
  <si>
    <t>&lt;em&gt;5.6.1.1.12. AA12&lt;/em&gt;</t>
  </si>
  <si>
    <t>&lt;em&gt;5.6.1.1.13. AA13&lt;/em&gt;</t>
  </si>
  <si>
    <t>&lt;em&gt;5.6.1.1.14. AA14&lt;/em&gt;</t>
  </si>
  <si>
    <t>&lt;em&gt;5.6.1.1.15. AA15&lt;/em&gt;</t>
  </si>
  <si>
    <t>&lt;em&gt;5.6.1.2. United States ABC Market Size and Forecast, by Segment2 (2024-2032)&lt;/em&gt;</t>
  </si>
  <si>
    <t>&lt;em&gt;5.6.1.2.1. BB1&lt;/em&gt;</t>
  </si>
  <si>
    <t>&lt;em&gt;5.6.1.2.2. BB2&lt;/em&gt;</t>
  </si>
  <si>
    <t>&lt;em&gt;5.6.1.2.3. BB3&lt;/em&gt;</t>
  </si>
  <si>
    <t>&lt;em&gt;5.6.1.2.4. BB4&lt;/em&gt;</t>
  </si>
  <si>
    <t>&lt;em&gt;5.6.1.2.5. BB5&lt;/em&gt;</t>
  </si>
  <si>
    <t>&lt;em&gt;5.6.1.2.6. BB6&lt;/em&gt;</t>
  </si>
  <si>
    <t>&lt;em&gt;5.6.1.2.7. BB7&lt;/em&gt;</t>
  </si>
  <si>
    <t>&lt;em&gt;5.6.1.2.8. BB8&lt;/em&gt;</t>
  </si>
  <si>
    <t>&lt;em&gt;5.6.1.2.9. BB9&lt;/em&gt;</t>
  </si>
  <si>
    <t>&lt;em&gt;5.6.1.2.10. BB10&lt;/em&gt;</t>
  </si>
  <si>
    <t>&lt;em&gt;5.6.1.2.11. BB11&lt;/em&gt;</t>
  </si>
  <si>
    <t>&lt;em&gt;5.6.1.2.12. BB12&lt;/em&gt;</t>
  </si>
  <si>
    <t>&lt;em&gt;5.6.1.2.13. BB13&lt;/em&gt;</t>
  </si>
  <si>
    <t>&lt;em&gt;5.6.1.2.14. BB14&lt;/em&gt;</t>
  </si>
  <si>
    <t>&lt;em&gt;5.6.1.2.15. BB15&lt;/em&gt;</t>
  </si>
  <si>
    <t>&lt;em&gt;5.6.1.3. United States ABC Market Size and Forecast, by Segment3 (2024-2032)&lt;/em&gt;</t>
  </si>
  <si>
    <t>&lt;em&gt;5.6.1.3.1. CC1&lt;/em&gt;</t>
  </si>
  <si>
    <t>&lt;em&gt;5.6.1.3.2. CC2&lt;/em&gt;</t>
  </si>
  <si>
    <t>&lt;em&gt;5.6.1.3.3. CC3&lt;/em&gt;</t>
  </si>
  <si>
    <t>&lt;em&gt;5.6.1.3.4. CC4&lt;/em&gt;</t>
  </si>
  <si>
    <t>&lt;em&gt;5.6.1.3.5. CC5&lt;/em&gt;</t>
  </si>
  <si>
    <t>&lt;em&gt;5.6.1.3.6. CC6&lt;/em&gt;</t>
  </si>
  <si>
    <t>&lt;em&gt;5.6.1.3.7. CC7&lt;/em&gt;</t>
  </si>
  <si>
    <t>&lt;em&gt;5.6.1.3.8. CC8&lt;/em&gt;</t>
  </si>
  <si>
    <t>&lt;em&gt;5.6.1.3.9. CC9&lt;/em&gt;</t>
  </si>
  <si>
    <t>&lt;em&gt;5.6.1.3.10. CC10&lt;/em&gt;</t>
  </si>
  <si>
    <t>&lt;em&gt;5.6.1.3.11. CC11&lt;/em&gt;</t>
  </si>
  <si>
    <t>&lt;em&gt;5.6.1.3.12. CC12&lt;/em&gt;</t>
  </si>
  <si>
    <t>&lt;em&gt;5.6.1.3.13. CC13&lt;/em&gt;</t>
  </si>
  <si>
    <t>&lt;em&gt;5.6.1.3.14. CC14&lt;/em&gt;</t>
  </si>
  <si>
    <t>&lt;em&gt;5.6.1.3.15. CC15&lt;/em&gt;</t>
  </si>
  <si>
    <t>&lt;em&gt;5.6.1.4. United States ABC Market Size and Forecast, by Segment4 (2024-2032)&lt;/em&gt;</t>
  </si>
  <si>
    <t>&lt;em&gt;5.6.1.4.1. DD1&lt;/em&gt;</t>
  </si>
  <si>
    <t>&lt;em&gt;5.6.1.4.2. DD2&lt;/em&gt;</t>
  </si>
  <si>
    <t>&lt;em&gt;5.6.1.4.3. DD3&lt;/em&gt;</t>
  </si>
  <si>
    <t>&lt;em&gt;5.6.1.4.4. DD4&lt;/em&gt;</t>
  </si>
  <si>
    <t>&lt;em&gt;5.6.1.4.5. DD5&lt;/em&gt;</t>
  </si>
  <si>
    <t>&lt;em&gt;5.6.1.4.6. DD6&lt;/em&gt;</t>
  </si>
  <si>
    <t>&lt;em&gt;5.6.1.4.7. DD7&lt;/em&gt;</t>
  </si>
  <si>
    <t>&lt;em&gt;5.6.1.4.8. DD8&lt;/em&gt;</t>
  </si>
  <si>
    <t>&lt;em&gt;5.6.1.4.9. DD9&lt;/em&gt;</t>
  </si>
  <si>
    <t>&lt;em&gt;5.6.1.4.10. DD10&lt;/em&gt;</t>
  </si>
  <si>
    <t>&lt;em&gt;5.6.1.4.11. DD11&lt;/em&gt;</t>
  </si>
  <si>
    <t>&lt;em&gt;5.6.1.4.12. DD12&lt;/em&gt;</t>
  </si>
  <si>
    <t>&lt;em&gt;5.6.1.4.13. DD13&lt;/em&gt;</t>
  </si>
  <si>
    <t>&lt;em&gt;5.6.1.4.14. DD14&lt;/em&gt;</t>
  </si>
  <si>
    <t>&lt;em&gt;5.6.1.4.15. DD15&lt;/em&gt;</t>
  </si>
  <si>
    <t>&lt;em&gt;5.6.1.5. United States ABC Market Size and Forecast, by Segment5 (2024-2032)&lt;/em&gt;</t>
  </si>
  <si>
    <t>&lt;em&gt;5.6.1.5.1. EE1&lt;/em&gt;</t>
  </si>
  <si>
    <t>&lt;em&gt;5.6.1.5.2. EE2&lt;/em&gt;</t>
  </si>
  <si>
    <t>&lt;em&gt;5.6.1.5.3. EE3&lt;/em&gt;</t>
  </si>
  <si>
    <t>&lt;em&gt;5.6.1.5.4. EE4&lt;/em&gt;</t>
  </si>
  <si>
    <t>&lt;em&gt;5.6.1.5.5. EE5&lt;/em&gt;</t>
  </si>
  <si>
    <t>&lt;em&gt;5.6.1.5.6. EE6&lt;/em&gt;</t>
  </si>
  <si>
    <t>&lt;em&gt;5.6.1.5.7. EE7&lt;/em&gt;</t>
  </si>
  <si>
    <t>&lt;em&gt;5.6.1.5.8. EE8&lt;/em&gt;</t>
  </si>
  <si>
    <t>&lt;em&gt;5.6.1.5.9. EE9&lt;/em&gt;</t>
  </si>
  <si>
    <t>&lt;em&gt;5.6.1.5.10. EE10&lt;/em&gt;</t>
  </si>
  <si>
    <t>&lt;em&gt;5.6.1.5.11. EE11&lt;/em&gt;</t>
  </si>
  <si>
    <t>&lt;em&gt;5.6.1.5.12. EE12&lt;/em&gt;</t>
  </si>
  <si>
    <t>&lt;em&gt;5.6.1.5.13. EE13&lt;/em&gt;</t>
  </si>
  <si>
    <t>&lt;em&gt;5.6.1.5.14. EE14&lt;/em&gt;</t>
  </si>
  <si>
    <t>&lt;em&gt;5.6.1.5.15. EE15&lt;/em&gt;</t>
  </si>
  <si>
    <t>&lt;strong&gt;&lt;em&gt;5.6.2. Canada&lt;/em&gt;&lt;/strong&gt;</t>
  </si>
  <si>
    <t>&lt;em&gt;5.6.2.1. Canada ABC Market Size and Forecast, by Segment1 (2024-2032)&lt;/em&gt;</t>
  </si>
  <si>
    <t>&lt;em&gt;5.6.2.1.1. AA1&lt;/em&gt;</t>
  </si>
  <si>
    <t>&lt;em&gt;5.6.2.1.2. AA2&lt;/em&gt;</t>
  </si>
  <si>
    <t>&lt;em&gt;5.6.2.1.3. AA3&lt;/em&gt;</t>
  </si>
  <si>
    <t>&lt;em&gt;5.6.2.1.4. AA4&lt;/em&gt;</t>
  </si>
  <si>
    <t>&lt;em&gt;5.6.2.1.5. AA5&lt;/em&gt;</t>
  </si>
  <si>
    <t>&lt;em&gt;5.6.2.1.6. AA6&lt;/em&gt;</t>
  </si>
  <si>
    <t>&lt;em&gt;5.6.2.1.7. AA7&lt;/em&gt;</t>
  </si>
  <si>
    <t>&lt;em&gt;5.6.2.1.8. AA8&lt;/em&gt;</t>
  </si>
  <si>
    <t>&lt;em&gt;5.6.2.1.9. AA9&lt;/em&gt;</t>
  </si>
  <si>
    <t>&lt;em&gt;5.6.2.1.10. AA10&lt;/em&gt;</t>
  </si>
  <si>
    <t>&lt;em&gt;5.6.2.1.11. AA11&lt;/em&gt;</t>
  </si>
  <si>
    <t>&lt;em&gt;5.6.2.1.12. AA12&lt;/em&gt;</t>
  </si>
  <si>
    <t>&lt;em&gt;5.6.2.1.13. AA13&lt;/em&gt;</t>
  </si>
  <si>
    <t>&lt;em&gt;5.6.2.1.14. AA14&lt;/em&gt;</t>
  </si>
  <si>
    <t>&lt;em&gt;5.6.2.1.15. AA15&lt;/em&gt;</t>
  </si>
  <si>
    <t>&lt;em&gt;5.6.2.2. Canada ABC Market Size and Forecast, by Segment2 (2024-2032)&lt;/em&gt;</t>
  </si>
  <si>
    <t>&lt;em&gt;5.6.2.2.1. BB1&lt;/em&gt;</t>
  </si>
  <si>
    <t>&lt;em&gt;5.6.2.2.2. BB2&lt;/em&gt;</t>
  </si>
  <si>
    <t>&lt;em&gt;5.6.2.2.3. BB3&lt;/em&gt;</t>
  </si>
  <si>
    <t>&lt;em&gt;5.6.2.2.4. BB4&lt;/em&gt;</t>
  </si>
  <si>
    <t>&lt;em&gt;5.6.2.2.5. BB5&lt;/em&gt;</t>
  </si>
  <si>
    <t>&lt;em&gt;5.6.2.2.6. BB6&lt;/em&gt;</t>
  </si>
  <si>
    <t>&lt;em&gt;5.6.2.2.7. BB7&lt;/em&gt;</t>
  </si>
  <si>
    <t>&lt;em&gt;5.6.2.2.8. BB8&lt;/em&gt;</t>
  </si>
  <si>
    <t>&lt;em&gt;5.6.2.2.9. BB9&lt;/em&gt;</t>
  </si>
  <si>
    <t>&lt;em&gt;5.6.2.2.10. BB10&lt;/em&gt;</t>
  </si>
  <si>
    <t>&lt;em&gt;5.6.2.2.11. BB11&lt;/em&gt;</t>
  </si>
  <si>
    <t>&lt;em&gt;5.6.2.2.12. BB12&lt;/em&gt;</t>
  </si>
  <si>
    <t>&lt;em&gt;5.6.2.2.13. BB13&lt;/em&gt;</t>
  </si>
  <si>
    <t>&lt;em&gt;5.6.2.2.14. BB14&lt;/em&gt;</t>
  </si>
  <si>
    <t>&lt;em&gt;5.6.2.2.15. BB15&lt;/em&gt;</t>
  </si>
  <si>
    <t>&lt;em&gt;5.6.2.3. Canada ABC Market Size and Forecast, by Segment3 (2024-2032)&lt;/em&gt;</t>
  </si>
  <si>
    <t>&lt;em&gt;5.6.2.3.1. CC1&lt;/em&gt;</t>
  </si>
  <si>
    <t>&lt;em&gt;5.6.2.3.2. CC2&lt;/em&gt;</t>
  </si>
  <si>
    <t>&lt;em&gt;5.6.2.3.3. CC3&lt;/em&gt;</t>
  </si>
  <si>
    <t>&lt;em&gt;5.6.2.3.4. CC4&lt;/em&gt;</t>
  </si>
  <si>
    <t>&lt;em&gt;5.6.2.3.5. CC5&lt;/em&gt;</t>
  </si>
  <si>
    <t>&lt;em&gt;5.6.2.3.6. CC6&lt;/em&gt;</t>
  </si>
  <si>
    <t>&lt;em&gt;5.6.2.3.7. CC7&lt;/em&gt;</t>
  </si>
  <si>
    <t>&lt;em&gt;5.6.2.3.8. CC8&lt;/em&gt;</t>
  </si>
  <si>
    <t>&lt;em&gt;5.6.2.3.9. CC9&lt;/em&gt;</t>
  </si>
  <si>
    <t>&lt;em&gt;5.6.2.3.10. CC10&lt;/em&gt;</t>
  </si>
  <si>
    <t>&lt;em&gt;5.6.2.3.11. CC11&lt;/em&gt;</t>
  </si>
  <si>
    <t>&lt;em&gt;5.6.2.3.12. CC12&lt;/em&gt;</t>
  </si>
  <si>
    <t>&lt;em&gt;5.6.2.3.13. CC13&lt;/em&gt;</t>
  </si>
  <si>
    <t>&lt;em&gt;5.6.2.3.14. CC14&lt;/em&gt;</t>
  </si>
  <si>
    <t>&lt;em&gt;5.6.2.3.15. CC15&lt;/em&gt;</t>
  </si>
  <si>
    <t>&lt;em&gt;5.6.2.4. Canada ABC Market Size and Forecast, by Segment4 (2024-2032)&lt;/em&gt;</t>
  </si>
  <si>
    <t>&lt;em&gt;5.6.2.4.1. DD1&lt;/em&gt;</t>
  </si>
  <si>
    <t>&lt;em&gt;5.6.2.4.2. DD2&lt;/em&gt;</t>
  </si>
  <si>
    <t>&lt;em&gt;5.6.2.4.3. DD3&lt;/em&gt;</t>
  </si>
  <si>
    <t>&lt;em&gt;5.6.2.4.4. DD4&lt;/em&gt;</t>
  </si>
  <si>
    <t>&lt;em&gt;5.6.2.4.5. DD5&lt;/em&gt;</t>
  </si>
  <si>
    <t>&lt;em&gt;5.6.2.4.6. DD6&lt;/em&gt;</t>
  </si>
  <si>
    <t>&lt;em&gt;5.6.2.4.7. DD7&lt;/em&gt;</t>
  </si>
  <si>
    <t>&lt;em&gt;5.6.2.4.8. DD8&lt;/em&gt;</t>
  </si>
  <si>
    <t>&lt;em&gt;5.6.2.4.9. DD9&lt;/em&gt;</t>
  </si>
  <si>
    <t>&lt;em&gt;5.6.2.4.10. DD10&lt;/em&gt;</t>
  </si>
  <si>
    <t>&lt;em&gt;5.6.2.4.11. DD11&lt;/em&gt;</t>
  </si>
  <si>
    <t>&lt;em&gt;5.6.2.4.12. DD12&lt;/em&gt;</t>
  </si>
  <si>
    <t>&lt;em&gt;5.6.2.4.13. DD13&lt;/em&gt;</t>
  </si>
  <si>
    <t>&lt;em&gt;5.6.2.4.14. DD14&lt;/em&gt;</t>
  </si>
  <si>
    <t>&lt;em&gt;5.6.2.4.15. DD15&lt;/em&gt;</t>
  </si>
  <si>
    <t>&lt;em&gt;5.6.2.5. Canada ABC Market Size and Forecast, by Segment5 (2024-2032)&lt;/em&gt;</t>
  </si>
  <si>
    <t>&lt;em&gt;5.6.2.5.1. EE1&lt;/em&gt;</t>
  </si>
  <si>
    <t>&lt;em&gt;5.6.2.5.2. EE2&lt;/em&gt;</t>
  </si>
  <si>
    <t>&lt;em&gt;5.6.2.5.3. EE3&lt;/em&gt;</t>
  </si>
  <si>
    <t>&lt;em&gt;5.6.2.5.4. EE4&lt;/em&gt;</t>
  </si>
  <si>
    <t>&lt;em&gt;5.6.2.5.5. EE5&lt;/em&gt;</t>
  </si>
  <si>
    <t>&lt;em&gt;5.6.2.5.6. EE6&lt;/em&gt;</t>
  </si>
  <si>
    <t>&lt;em&gt;5.6.2.5.7. EE7&lt;/em&gt;</t>
  </si>
  <si>
    <t>&lt;em&gt;5.6.2.5.8. EE8&lt;/em&gt;</t>
  </si>
  <si>
    <t>&lt;em&gt;5.6.2.5.9. EE9&lt;/em&gt;</t>
  </si>
  <si>
    <t>&lt;em&gt;5.6.2.5.10. EE10&lt;/em&gt;</t>
  </si>
  <si>
    <t>&lt;em&gt;5.6.2.5.11. EE11&lt;/em&gt;</t>
  </si>
  <si>
    <t>&lt;em&gt;5.6.2.5.12. EE12&lt;/em&gt;</t>
  </si>
  <si>
    <t>&lt;em&gt;5.6.2.5.13. EE13&lt;/em&gt;</t>
  </si>
  <si>
    <t>&lt;em&gt;5.6.2.5.14. EE14&lt;/em&gt;</t>
  </si>
  <si>
    <t>&lt;em&gt;5.6.2.5.15. EE15&lt;/em&gt;</t>
  </si>
  <si>
    <t>&lt;strong&gt;&lt;em&gt;5.6.3. Mexico&lt;/em&gt;&lt;/strong&gt;</t>
  </si>
  <si>
    <t>&lt;em&gt;5.6.3.1. Mexico ABC Market Size and Forecast, by Segment1 (2024-2032)&lt;/em&gt;</t>
  </si>
  <si>
    <t>&lt;em&gt;5.6.3.1.1. AA1&lt;/em&gt;</t>
  </si>
  <si>
    <t>&lt;em&gt;5.6.3.1.2. AA2&lt;/em&gt;</t>
  </si>
  <si>
    <t>&lt;em&gt;5.6.3.1.3. AA3&lt;/em&gt;</t>
  </si>
  <si>
    <t>&lt;em&gt;5.6.3.1.4. AA4&lt;/em&gt;</t>
  </si>
  <si>
    <t>&lt;em&gt;5.6.3.1.5. AA5&lt;/em&gt;</t>
  </si>
  <si>
    <t>&lt;em&gt;5.6.3.1.6. AA6&lt;/em&gt;</t>
  </si>
  <si>
    <t>&lt;em&gt;5.6.3.1.7. AA7&lt;/em&gt;</t>
  </si>
  <si>
    <t>&lt;em&gt;5.6.3.1.8. AA8&lt;/em&gt;</t>
  </si>
  <si>
    <t>&lt;em&gt;5.6.3.1.9. AA9&lt;/em&gt;</t>
  </si>
  <si>
    <t>&lt;em&gt;5.6.3.1.10. AA10&lt;/em&gt;</t>
  </si>
  <si>
    <t>&lt;em&gt;5.6.3.1.11. AA11&lt;/em&gt;</t>
  </si>
  <si>
    <t>&lt;em&gt;5.6.3.1.12. AA12&lt;/em&gt;</t>
  </si>
  <si>
    <t>&lt;em&gt;5.6.3.1.13. AA13&lt;/em&gt;</t>
  </si>
  <si>
    <t>&lt;em&gt;5.6.3.1.14. AA14&lt;/em&gt;</t>
  </si>
  <si>
    <t>&lt;em&gt;5.6.3.1.15. AA15&lt;/em&gt;</t>
  </si>
  <si>
    <t>&lt;em&gt;5.6.3.2. Mexico ABC Market Size and Forecast, by Segment2 (2024-2032)&lt;/em&gt;</t>
  </si>
  <si>
    <t>&lt;em&gt;5.6.3.2.1. BB1&lt;/em&gt;</t>
  </si>
  <si>
    <t>&lt;em&gt;5.6.3.2.2. BB2&lt;/em&gt;</t>
  </si>
  <si>
    <t>&lt;em&gt;5.6.3.2.3. BB3&lt;/em&gt;</t>
  </si>
  <si>
    <t>&lt;em&gt;5.6.3.2.4. BB4&lt;/em&gt;</t>
  </si>
  <si>
    <t>&lt;em&gt;5.6.3.2.5. BB5&lt;/em&gt;</t>
  </si>
  <si>
    <t>&lt;em&gt;5.6.3.2.6. BB6&lt;/em&gt;</t>
  </si>
  <si>
    <t>&lt;em&gt;5.6.3.2.7. BB7&lt;/em&gt;</t>
  </si>
  <si>
    <t>&lt;em&gt;5.6.3.2.8. BB8&lt;/em&gt;</t>
  </si>
  <si>
    <t>&lt;em&gt;5.6.3.2.9. BB9&lt;/em&gt;</t>
  </si>
  <si>
    <t>&lt;em&gt;5.6.3.2.10. BB10&lt;/em&gt;</t>
  </si>
  <si>
    <t>&lt;em&gt;5.6.3.2.11. BB11&lt;/em&gt;</t>
  </si>
  <si>
    <t>&lt;em&gt;5.6.3.2.12. BB12&lt;/em&gt;</t>
  </si>
  <si>
    <t>&lt;em&gt;5.6.3.2.13. BB13&lt;/em&gt;</t>
  </si>
  <si>
    <t>&lt;em&gt;5.6.3.2.14. BB14&lt;/em&gt;</t>
  </si>
  <si>
    <t>&lt;em&gt;5.6.3.2.15. BB15&lt;/em&gt;</t>
  </si>
  <si>
    <t>&lt;em&gt;5.6.3.3. Mexico ABC Market Size and Forecast, by Segment3 (2024-2032)&lt;/em&gt;</t>
  </si>
  <si>
    <t>&lt;em&gt;5.6.3.3.1. CC1&lt;/em&gt;</t>
  </si>
  <si>
    <t>&lt;em&gt;5.6.3.3.2. CC2&lt;/em&gt;</t>
  </si>
  <si>
    <t>&lt;em&gt;5.6.3.3.3. CC3&lt;/em&gt;</t>
  </si>
  <si>
    <t>&lt;em&gt;5.6.3.3.4. CC4&lt;/em&gt;</t>
  </si>
  <si>
    <t>&lt;em&gt;5.6.3.3.5. CC5&lt;/em&gt;</t>
  </si>
  <si>
    <t>&lt;em&gt;5.6.3.3.6. CC6&lt;/em&gt;</t>
  </si>
  <si>
    <t>&lt;em&gt;5.6.3.3.7. CC7&lt;/em&gt;</t>
  </si>
  <si>
    <t>&lt;em&gt;5.6.3.3.8. CC8&lt;/em&gt;</t>
  </si>
  <si>
    <t>&lt;em&gt;5.6.3.3.9. CC9&lt;/em&gt;</t>
  </si>
  <si>
    <t>&lt;em&gt;5.6.3.3.10. CC10&lt;/em&gt;</t>
  </si>
  <si>
    <t>&lt;em&gt;5.6.3.3.11. CC11&lt;/em&gt;</t>
  </si>
  <si>
    <t>&lt;em&gt;5.6.3.3.12. CC12&lt;/em&gt;</t>
  </si>
  <si>
    <t>&lt;em&gt;5.6.3.3.13. CC13&lt;/em&gt;</t>
  </si>
  <si>
    <t>&lt;em&gt;5.6.3.3.14. CC14&lt;/em&gt;</t>
  </si>
  <si>
    <t>&lt;em&gt;5.6.3.3.15. CC15&lt;/em&gt;</t>
  </si>
  <si>
    <t>&lt;em&gt;5.6.3.4. Mexico ABC Market Size and Forecast, by Segment4 (2024-2032)&lt;/em&gt;</t>
  </si>
  <si>
    <t>&lt;em&gt;5.6.3.4.1. DD1&lt;/em&gt;</t>
  </si>
  <si>
    <t>&lt;em&gt;5.6.3.4.2. DD2&lt;/em&gt;</t>
  </si>
  <si>
    <t>&lt;em&gt;5.6.3.4.3. DD3&lt;/em&gt;</t>
  </si>
  <si>
    <t>&lt;em&gt;5.6.3.4.4. DD4&lt;/em&gt;</t>
  </si>
  <si>
    <t>&lt;em&gt;5.6.3.4.5. DD5&lt;/em&gt;</t>
  </si>
  <si>
    <t>&lt;em&gt;5.6.3.4.6. DD6&lt;/em&gt;</t>
  </si>
  <si>
    <t>&lt;em&gt;5.6.3.4.7. DD7&lt;/em&gt;</t>
  </si>
  <si>
    <t>&lt;em&gt;5.6.3.4.8. DD8&lt;/em&gt;</t>
  </si>
  <si>
    <t>&lt;em&gt;5.6.3.4.9. DD9&lt;/em&gt;</t>
  </si>
  <si>
    <t>&lt;em&gt;5.6.3.4.10. DD10&lt;/em&gt;</t>
  </si>
  <si>
    <t>&lt;em&gt;5.6.3.4.11. DD11&lt;/em&gt;</t>
  </si>
  <si>
    <t>&lt;em&gt;5.6.3.4.12. DD12&lt;/em&gt;</t>
  </si>
  <si>
    <t>&lt;em&gt;5.6.3.4.13. DD13&lt;/em&gt;</t>
  </si>
  <si>
    <t>&lt;em&gt;5.6.3.4.14. DD14&lt;/em&gt;</t>
  </si>
  <si>
    <t>&lt;em&gt;5.6.3.4.15. DD15&lt;/em&gt;</t>
  </si>
  <si>
    <t>&lt;em&gt;5.6.3.5. Mexico ABC Market Size and Forecast, by Segment5 (2024-2032)&lt;/em&gt;</t>
  </si>
  <si>
    <t>&lt;em&gt;5.6.3.5.1. EE1&lt;/em&gt;</t>
  </si>
  <si>
    <t>&lt;em&gt;5.6.3.5.2. EE2&lt;/em&gt;</t>
  </si>
  <si>
    <t>&lt;em&gt;5.6.3.5.3. EE3&lt;/em&gt;</t>
  </si>
  <si>
    <t>&lt;em&gt;5.6.3.5.4. EE4&lt;/em&gt;</t>
  </si>
  <si>
    <t>&lt;em&gt;5.6.3.5.5. EE5&lt;/em&gt;</t>
  </si>
  <si>
    <t>&lt;em&gt;5.6.3.5.6. EE6&lt;/em&gt;</t>
  </si>
  <si>
    <t>&lt;em&gt;5.6.3.5.7. EE7&lt;/em&gt;</t>
  </si>
  <si>
    <t>&lt;em&gt;5.6.3.5.8. EE8&lt;/em&gt;</t>
  </si>
  <si>
    <t>&lt;em&gt;5.6.3.5.9. EE9&lt;/em&gt;</t>
  </si>
  <si>
    <t>&lt;em&gt;5.6.3.5.10. EE10&lt;/em&gt;</t>
  </si>
  <si>
    <t>&lt;em&gt;5.6.3.5.11. EE11&lt;/em&gt;</t>
  </si>
  <si>
    <t>&lt;em&gt;5.6.3.5.12. EE12&lt;/em&gt;</t>
  </si>
  <si>
    <t>&lt;em&gt;5.6.3.5.13. EE13&lt;/em&gt;</t>
  </si>
  <si>
    <t>&lt;em&gt;5.6.3.5.14. EE14&lt;/em&gt;</t>
  </si>
  <si>
    <t>&lt;em&gt;5.6.3.5.15. EE15&lt;/em&gt;</t>
  </si>
  <si>
    <t>6.6. Europe ABC Market Size and Forecast, by Country (2024-2032)</t>
  </si>
  <si>
    <t>&lt;strong&gt;&lt;em&gt;6.6.1. United Kingdom&lt;/em&gt;&lt;/strong&gt;</t>
  </si>
  <si>
    <t>&lt;em&gt;6.6.1.1. United Kingdom ABC Market Size and Forecast, by Segment1 (2024-2032)&lt;/em&gt;</t>
  </si>
  <si>
    <t>&lt;em&gt;6.6.1.2. United Kingdom ABC Market Size and Forecast, by Segment2 (2024-2032)&lt;/em&gt;</t>
  </si>
  <si>
    <t>&lt;em&gt;6.6.1.3. United Kingdom ABC Market Size and Forecast, by Segment3 (2024-2032)&lt;/em&gt;</t>
  </si>
  <si>
    <t>&lt;em&gt;6.6.1.4. United Kingdom ABC Market Size and Forecast, by Segment4 (2024-2032)&lt;/em&gt;</t>
  </si>
  <si>
    <t>&lt;em&gt;6.6.1.5. United Kingdom ABC Market Size and Forecast, by Segment5 (2024-2032)&lt;/em&gt;</t>
  </si>
  <si>
    <t>&lt;strong&gt;&lt;em&gt;6.6.2. France&lt;/em&gt;&lt;/strong&gt;</t>
  </si>
  <si>
    <t>&lt;em&gt;6.6.2.1. France ABC Market Size and Forecast, by Segment1 (2024-2032)&lt;/em&gt;</t>
  </si>
  <si>
    <t>&lt;em&gt;6.6.2.2. France ABC Market Size and Forecast, by Segment2 (2024-2032)&lt;/em&gt;</t>
  </si>
  <si>
    <t>&lt;em&gt;6.6.2.3. France ABC Market Size and Forecast, by Segment3 (2024-2032)&lt;/em&gt;</t>
  </si>
  <si>
    <t>&lt;em&gt;6.6.2.4. France ABC Market Size and Forecast, by Segment4 (2024-2032)&lt;/em&gt;</t>
  </si>
  <si>
    <t>&lt;em&gt;6.6.2.5. France ABC Market Size and Forecast, by Segment5 (2024-2032)&lt;/em&gt;</t>
  </si>
  <si>
    <t>&lt;strong&gt;&lt;em&gt;6.6.3. Germany&lt;/em&gt;&lt;/strong&gt;</t>
  </si>
  <si>
    <t>&lt;em&gt;6.6.3.1. Germany ABC Market Size and Forecast, by Segment1 (2024-2032)&lt;/em&gt;</t>
  </si>
  <si>
    <t>&lt;em&gt;6.6.3.2. Germany ABC Market Size and Forecast, by Segment2 (2024-2032)&lt;/em&gt;</t>
  </si>
  <si>
    <t>&lt;em&gt;6.6.3.3. Germany ABC Market Size and Forecast, by Segment3 (2024-2032)&lt;/em&gt;</t>
  </si>
  <si>
    <t>&lt;em&gt;6.6.3.4. Germany ABC Market Size and Forecast, by Segment4 (2024-2032)&lt;/em&gt;</t>
  </si>
  <si>
    <t>&lt;em&gt;6.6.3.5. Germany ABC Market Size and Forecast, by Segment5 (2024-2032)&lt;/em&gt;</t>
  </si>
  <si>
    <t>&lt;strong&gt;&lt;em&gt;6.6.4. Italy&lt;/em&gt;&lt;/strong&gt;</t>
  </si>
  <si>
    <t>&lt;em&gt;6.6.4.1. Italy ABC Market Size and Forecast, by Segment1 (2024-2032)&lt;/em&gt;</t>
  </si>
  <si>
    <t>&lt;em&gt;6.6.4.2. Italy ABC Market Size and Forecast, by Segment2 (2024-2032)&lt;/em&gt;</t>
  </si>
  <si>
    <t>&lt;em&gt;6.6.4.3. Italy ABC Market Size and Forecast, by Segment3 (2024-2032)&lt;/em&gt;</t>
  </si>
  <si>
    <t>&lt;em&gt;6.6.4.4. Italy ABC Market Size and Forecast, by Segment4 (2024-2032)&lt;/em&gt;</t>
  </si>
  <si>
    <t>&lt;em&gt;6.6.4.5. Italy ABC Market Size and Forecast, by Segment5 (2024-2032)&lt;/em&gt;</t>
  </si>
  <si>
    <t>&lt;strong&gt;&lt;em&gt;6.6.5. Spain&lt;/em&gt;&lt;/strong&gt;</t>
  </si>
  <si>
    <t>&lt;em&gt;6.6.5.1. Spain ABC Market Size and Forecast, by Segment1 (2024-2032)&lt;/em&gt;</t>
  </si>
  <si>
    <t>&lt;em&gt;6.6.5.2. Spain ABC Market Size and Forecast, by Segment2 (2024-2032)&lt;/em&gt;</t>
  </si>
  <si>
    <t>&lt;em&gt;6.6.5.3. Spain ABC Market Size and Forecast, by Segment3 (2024-2032)&lt;/em&gt;</t>
  </si>
  <si>
    <t>&lt;em&gt;6.6.5.4. Spain ABC Market Size and Forecast, by Segment4 (2024-2032)&lt;/em&gt;</t>
  </si>
  <si>
    <t>&lt;em&gt;6.6.5.5. Spain ABC Market Size and Forecast, by Segment5 (2024-2032)&lt;/em&gt;</t>
  </si>
  <si>
    <t>&lt;strong&gt;&lt;em&gt;6.6.6. Sweden&lt;/em&gt;&lt;/strong&gt;</t>
  </si>
  <si>
    <t>&lt;em&gt;6.6.6.1. Sweden ABC Market Size and Forecast, by Segment1 (2024-2032)&lt;/em&gt;</t>
  </si>
  <si>
    <t>&lt;em&gt;6.6.6.2. Sweden ABC Market Size and Forecast, by Segment2 (2024-2032)&lt;/em&gt;</t>
  </si>
  <si>
    <t>&lt;em&gt;6.6.6.3. Sweden ABC Market Size and Forecast, by Segment3 (2024-2032)&lt;/em&gt;</t>
  </si>
  <si>
    <t>&lt;em&gt;6.6.6.4. Sweden ABC Market Size and Forecast, by Segment4 (2024-2032)&lt;/em&gt;</t>
  </si>
  <si>
    <t>&lt;em&gt;6.6.6.5. Sweden ABC Market Size and Forecast, by Segment5 (2024-2032)&lt;/em&gt;</t>
  </si>
  <si>
    <t>&lt;strong&gt;&lt;em&gt;6.6.7. Austria&lt;/em&gt;&lt;/strong&gt;</t>
  </si>
  <si>
    <t>&lt;em&gt;6.6.7.1. Austria ABC Market Size and Forecast, by Segment1 (2024-2032)&lt;/em&gt;</t>
  </si>
  <si>
    <t>&lt;em&gt;6.6.7.2. Austria ABC Market Size and Forecast, by Segment2 (2024-2032)&lt;/em&gt;</t>
  </si>
  <si>
    <t>&lt;em&gt;6.6.7.3. Austria ABC Market Size and Forecast, by Segment3 (2024-2032)&lt;/em&gt;</t>
  </si>
  <si>
    <t>&lt;em&gt;6.6.7.4. Austria ABC Market Size and Forecast, by Segment4 (2024-2032)&lt;/em&gt;</t>
  </si>
  <si>
    <t>&lt;em&gt;6.6.7.5. Austria ABC Market Size and Forecast, by Segment5 (2024-2032)&lt;/em&gt;</t>
  </si>
  <si>
    <t>&lt;strong&gt;&lt;em&gt;6.6.8. Rest of Europe&lt;/em&gt;&lt;/strong&gt;</t>
  </si>
  <si>
    <t>&lt;em&gt;6.6.8.1. Rest of Europe ABC Market Size and Forecast, by Segment1 (2024-2032)&lt;/em&gt;</t>
  </si>
  <si>
    <t>&lt;em&gt;6.6.8.2. Rest of Europe ABC Market Size and Forecast, by Segment2 (2024-2032)&lt;/em&gt;</t>
  </si>
  <si>
    <t>&lt;em&gt;6.6.8.3. Rest of Europe ABC Market Size and Forecast, by Segment3 (2024-2032)&lt;/em&gt;</t>
  </si>
  <si>
    <t>&lt;em&gt;6.6.8.4. Rest of Europe ABC Market Size and Forecast, by Segment4 (2024-2032)&lt;/em&gt;</t>
  </si>
  <si>
    <t>&lt;em&gt;6.6.8.5. Rest of Europe ABC Market Size and Forecast, by Segment5 (2024-2032)&lt;/em&gt;</t>
  </si>
  <si>
    <t>7.6. Asia Pacific ABC Market Size and Forecast, by Country (2024-2032)</t>
  </si>
  <si>
    <t>&lt;strong&gt;&lt;em&gt;7.6.1. China&lt;/em&gt;&lt;/strong&gt;</t>
  </si>
  <si>
    <t>&lt;em&gt;7.6.1.1. China ABC Market Size and Forecast, by Segment1 (2024-2032)&lt;/em&gt;</t>
  </si>
  <si>
    <t>&lt;em&gt;7.6.1.2. China ABC Market Size and Forecast, by Segment2 (2024-2032)&lt;/em&gt;</t>
  </si>
  <si>
    <t>&lt;em&gt;7.6.1.3. China ABC Market Size and Forecast, by Segment3 (2024-2032)&lt;/em&gt;</t>
  </si>
  <si>
    <t>&lt;em&gt;7.6.1.4. China ABC Market Size and Forecast, by Segment4 (2024-2032)&lt;/em&gt;</t>
  </si>
  <si>
    <t>&lt;em&gt;7.6.1.5. China ABC Market Size and Forecast, by Segment5 (2024-2032)&lt;/em&gt;</t>
  </si>
  <si>
    <t>&lt;strong&gt;&lt;em&gt;7.6.2. S Korea&lt;/em&gt;&lt;/strong&gt;</t>
  </si>
  <si>
    <t>&lt;em&gt;7.6.2.1. S Korea ABC Market Size and Forecast, by Segment1 (2024-2032)&lt;/em&gt;</t>
  </si>
  <si>
    <t>&lt;em&gt;7.6.2.2. S Korea ABC Market Size and Forecast, by Segment2 (2024-2032)&lt;/em&gt;</t>
  </si>
  <si>
    <t>&lt;em&gt;7.6.2.3. S Korea ABC Market Size and Forecast, by Segment3 (2024-2032)&lt;/em&gt;</t>
  </si>
  <si>
    <t>&lt;em&gt;7.6.2.4. S Korea ABC Market Size and Forecast, by Segment4 (2024-2032)&lt;/em&gt;</t>
  </si>
  <si>
    <t>&lt;em&gt;7.6.2.5. S Korea ABC Market Size and Forecast, by Segment5 (2024-2032)&lt;/em&gt;</t>
  </si>
  <si>
    <t>&lt;strong&gt;&lt;em&gt;7.6.3. Japan&lt;/em&gt;&lt;/strong&gt;</t>
  </si>
  <si>
    <t>&lt;em&gt;7.6.3.1. Japan ABC Market Size and Forecast, by Segment1 (2024-2032)&lt;/em&gt;</t>
  </si>
  <si>
    <t>&lt;em&gt;7.6.3.2. Japan ABC Market Size and Forecast, by Segment2 (2024-2032)&lt;/em&gt;</t>
  </si>
  <si>
    <t>&lt;em&gt;7.6.3.3. Japan ABC Market Size and Forecast, by Segment3 (2024-2032)&lt;/em&gt;</t>
  </si>
  <si>
    <t>&lt;em&gt;7.6.3.4. Japan ABC Market Size and Forecast, by Segment4 (2024-2032)&lt;/em&gt;</t>
  </si>
  <si>
    <t>&lt;em&gt;7.6.3.5. Japan ABC Market Size and Forecast, by Segment5 (2024-2032)&lt;/em&gt;</t>
  </si>
  <si>
    <t>&lt;strong&gt;&lt;em&gt;7.6.4. India&lt;/em&gt;&lt;/strong&gt;</t>
  </si>
  <si>
    <t>&lt;em&gt;7.6.4.1. India ABC Market Size and Forecast, by Segment1 (2024-2032)&lt;/em&gt;</t>
  </si>
  <si>
    <t>&lt;em&gt;7.6.4.2. India ABC Market Size and Forecast, by Segment2 (2024-2032)&lt;/em&gt;</t>
  </si>
  <si>
    <t>&lt;em&gt;7.6.4.3. India ABC Market Size and Forecast, by Segment3 (2024-2032)&lt;/em&gt;</t>
  </si>
  <si>
    <t>&lt;em&gt;7.6.4.4. India ABC Market Size and Forecast, by Segment4 (2024-2032)&lt;/em&gt;</t>
  </si>
  <si>
    <t>&lt;em&gt;7.6.4.5. India ABC Market Size and Forecast, by Segment5 (2024-2032)&lt;/em&gt;</t>
  </si>
  <si>
    <t>&lt;strong&gt;&lt;em&gt;7.6.5. Australia&lt;/em&gt;&lt;/strong&gt;</t>
  </si>
  <si>
    <t>&lt;em&gt;7.6.5.1. Australia ABC Market Size and Forecast, by Segment1 (2024-2032)&lt;/em&gt;</t>
  </si>
  <si>
    <t>&lt;em&gt;7.6.5.2. Australia ABC Market Size and Forecast, by Segment2 (2024-2032)&lt;/em&gt;</t>
  </si>
  <si>
    <t>&lt;em&gt;7.6.5.3. Australia ABC Market Size and Forecast, by Segment3 (2024-2032)&lt;/em&gt;</t>
  </si>
  <si>
    <t>&lt;em&gt;7.6.5.4. Australia ABC Market Size and Forecast, by Segment4 (2024-2032)&lt;/em&gt;</t>
  </si>
  <si>
    <t>&lt;em&gt;7.6.5.5. Australia ABC Market Size and Forecast, by Segment5 (2024-2032)&lt;/em&gt;</t>
  </si>
  <si>
    <t>&lt;strong&gt;&lt;em&gt;7.6.6. Indonesia&lt;/em&gt;&lt;/strong&gt;</t>
  </si>
  <si>
    <t>&lt;em&gt;7.6.6.1. Indonesia ABC Market Size and Forecast, by Segment1 (2024-2032)&lt;/em&gt;</t>
  </si>
  <si>
    <t>&lt;em&gt;7.6.6.2. Indonesia ABC Market Size and Forecast, by Segment2 (2024-2032)&lt;/em&gt;</t>
  </si>
  <si>
    <t>&lt;em&gt;7.6.6.3. Indonesia ABC Market Size and Forecast, by Segment3 (2024-2032)&lt;/em&gt;</t>
  </si>
  <si>
    <t>&lt;em&gt;7.6.6.4. Indonesia ABC Market Size and Forecast, by Segment4 (2024-2032)&lt;/em&gt;</t>
  </si>
  <si>
    <t>&lt;em&gt;7.6.6.5. Indonesia ABC Market Size and Forecast, by Segment5 (2024-2032)&lt;/em&gt;</t>
  </si>
  <si>
    <t>&lt;strong&gt;&lt;em&gt;7.6.7. Malaysia&lt;/em&gt;&lt;/strong&gt;</t>
  </si>
  <si>
    <t>&lt;em&gt;7.6.7.1. Malaysia ABC Market Size and Forecast, by Segment1 (2024-2032)&lt;/em&gt;</t>
  </si>
  <si>
    <t>&lt;em&gt;7.6.7.2. Malaysia ABC Market Size and Forecast, by Segment2 (2024-2032)&lt;/em&gt;</t>
  </si>
  <si>
    <t>&lt;em&gt;7.6.7.3. Malaysia ABC Market Size and Forecast, by Segment3 (2024-2032)&lt;/em&gt;</t>
  </si>
  <si>
    <t>&lt;em&gt;7.6.7.4. Malaysia ABC Market Size and Forecast, by Segment4 (2024-2032)&lt;/em&gt;</t>
  </si>
  <si>
    <t>&lt;em&gt;7.6.7.5. Malaysia ABC Market Size and Forecast, by Segment5 (2024-2032)&lt;/em&gt;</t>
  </si>
  <si>
    <t>&lt;strong&gt;&lt;em&gt;7.6.8. Vietnam&lt;/em&gt;&lt;/strong&gt;</t>
  </si>
  <si>
    <t>&lt;em&gt;7.6.8.1. Vietnam ABC Market Size and Forecast, by Segment1 (2024-2032)&lt;/em&gt;</t>
  </si>
  <si>
    <t>&lt;em&gt;7.6.8.2. Vietnam ABC Market Size and Forecast, by Segment2 (2024-2032)&lt;/em&gt;</t>
  </si>
  <si>
    <t>&lt;em&gt;7.6.8.3. Vietnam ABC Market Size and Forecast, by Segment3 (2024-2032)&lt;/em&gt;</t>
  </si>
  <si>
    <t>&lt;em&gt;7.6.8.4. Vietnam ABC Market Size and Forecast, by Segment4 (2024-2032)&lt;/em&gt;</t>
  </si>
  <si>
    <t>&lt;em&gt;7.6.8.5. Vietnam ABC Market Size and Forecast, by Segment5 (2024-2032)&lt;/em&gt;</t>
  </si>
  <si>
    <t>&lt;strong&gt;&lt;em&gt;7.6.9. Taiwan&lt;/em&gt;&lt;/strong&gt;</t>
  </si>
  <si>
    <t>&lt;em&gt;7.6.9.1. Taiwan ABC Market Size and Forecast, by Segment1 (2024-2032)&lt;/em&gt;</t>
  </si>
  <si>
    <t>&lt;em&gt;7.6.9.2. Taiwan ABC Market Size and Forecast, by Segment2 (2024-2032)&lt;/em&gt;</t>
  </si>
  <si>
    <t>&lt;em&gt;7.6.9.3. Taiwan ABC Market Size and Forecast, by Segment3 (2024-2032)&lt;/em&gt;</t>
  </si>
  <si>
    <t>&lt;em&gt;7.6.9.4. Taiwan ABC Market Size and Forecast, by Segment4 (2024-2032)&lt;/em&gt;</t>
  </si>
  <si>
    <t>&lt;em&gt;7.6.9.5. Taiwan ABC Market Size and Forecast, by Segment5 (2024-2032)&lt;/em&gt;</t>
  </si>
  <si>
    <t>&lt;strong&gt;&lt;em&gt;7.6.10. Rest of Asia Pacific&lt;/em&gt;&lt;/strong&gt;</t>
  </si>
  <si>
    <t>&lt;em&gt;7.6.10.1. Rest of Asia Pacific ABC Market Size and Forecast, by Segment1 (2024-2032)&lt;/em&gt;</t>
  </si>
  <si>
    <t>&lt;em&gt;7.6.10.2. Rest of Asia Pacific ABC Market Size and Forecast, by Segment2 (2024-2032)&lt;/em&gt;</t>
  </si>
  <si>
    <t>&lt;em&gt;7.6.10.3. Rest of Asia Pacific ABC Market Size and Forecast, by Segment3 (2024-2032)&lt;/em&gt;</t>
  </si>
  <si>
    <t>&lt;em&gt;7.6.10.4. Rest of Asia Pacific ABC Market Size and Forecast, by Segment4 (2024-2032)&lt;/em&gt;</t>
  </si>
  <si>
    <t>&lt;em&gt;7.6.10.5. Rest of Asia Pacific ABC Market Size and Forecast, by Segment5 (2024-2032)&lt;/em&gt;</t>
  </si>
  <si>
    <t>8.6. Middle East and Africa ABC Market Size and Forecast, by Country (2024-2032)</t>
  </si>
  <si>
    <t>&lt;strong&gt;&lt;em&gt;8.6.1. South Africa&lt;/em&gt;&lt;/strong&gt;</t>
  </si>
  <si>
    <t>&lt;em&gt;8.6.1.1. South Africa ABC Market Size and Forecast, by Segment1 (2024-2032)&lt;/em&gt;</t>
  </si>
  <si>
    <t>&lt;em&gt;8.6.1.2. South Africa ABC Market Size and Forecast, by Segment2 (2024-2032)&lt;/em&gt;</t>
  </si>
  <si>
    <t>&lt;em&gt;8.6.1.3. South Africa ABC Market Size and Forecast, by Segment3 (2024-2032)&lt;/em&gt;</t>
  </si>
  <si>
    <t>&lt;em&gt;8.6.1.4. South Africa ABC Market Size and Forecast, by Segment4 (2024-2032)&lt;/em&gt;</t>
  </si>
  <si>
    <t>&lt;em&gt;8.6.1.5. South Africa ABC Market Size and Forecast, by Segment5 (2024-2032)&lt;/em&gt;</t>
  </si>
  <si>
    <t>&lt;strong&gt;&lt;em&gt;8.6.2. GCC&lt;/em&gt;&lt;/strong&gt;</t>
  </si>
  <si>
    <t>&lt;em&gt;8.6.2.1. GCC ABC Market Size and Forecast, by Segment1 (2024-2032)&lt;/em&gt;</t>
  </si>
  <si>
    <t>&lt;em&gt;8.6.2.2. GCC ABC Market Size and Forecast, by Segment2 (2024-2032)&lt;/em&gt;</t>
  </si>
  <si>
    <t>&lt;em&gt;8.6.2.3. GCC ABC Market Size and Forecast, by Segment3 (2024-2032)&lt;/em&gt;</t>
  </si>
  <si>
    <t>&lt;em&gt;8.6.2.4. GCC ABC Market Size and Forecast, by Segment4 (2024-2032)&lt;/em&gt;</t>
  </si>
  <si>
    <t>&lt;em&gt;8.6.2.5. GCC ABC Market Size and Forecast, by Segment5 (2024-2032)&lt;/em&gt;</t>
  </si>
  <si>
    <t>&lt;strong&gt;&lt;em&gt;8.6.3. Nigeria&lt;/em&gt;&lt;/strong&gt;</t>
  </si>
  <si>
    <t>&lt;em&gt;8.6.3.1. Nigeria ABC Market Size and Forecast, by Segment1 (2024-2032)&lt;/em&gt;</t>
  </si>
  <si>
    <t>&lt;em&gt;8.6.3.2. Nigeria ABC Market Size and Forecast, by Segment2 (2024-2032)&lt;/em&gt;</t>
  </si>
  <si>
    <t>&lt;em&gt;8.6.3.3. Nigeria ABC Market Size and Forecast, by Segment3 (2024-2032)&lt;/em&gt;</t>
  </si>
  <si>
    <t>&lt;em&gt;8.6.3.4. Nigeria ABC Market Size and Forecast, by Segment4 (2024-2032)&lt;/em&gt;</t>
  </si>
  <si>
    <t>&lt;em&gt;8.6.3.5. Nigeria ABC Market Size and Forecast, by Segment5 (2024-2032)&lt;/em&gt;</t>
  </si>
  <si>
    <t>&lt;strong&gt;&lt;em&gt;8.6.4. Rest of ME&amp;amp;A&lt;/em&gt;&lt;/strong&gt;</t>
  </si>
  <si>
    <t>&lt;em&gt;8.6.4.1. Rest of ME&amp;amp;A ABC Market Size and Forecast, by Segment1 (2024-2032)&lt;/em&gt;</t>
  </si>
  <si>
    <t>&lt;em&gt;8.6.4.2. Rest of ME&amp;amp;A ABC Market Size and Forecast, by Segment2 (2024-2032)&lt;/em&gt;</t>
  </si>
  <si>
    <t>&lt;em&gt;8.6.4.3. Rest of ME&amp;amp;A ABC Market Size and Forecast, by Segment3 (2024-2032)&lt;/em&gt;</t>
  </si>
  <si>
    <t>&lt;em&gt;8.6.4.4. Rest of ME&amp;amp;A ABC Market Size and Forecast, by Segment4 (2024-2032)&lt;/em&gt;</t>
  </si>
  <si>
    <t>&lt;em&gt;8.6.4.5. Rest of ME&amp;amp;A ABC Market Size and Forecast, by Segment5 (2024-2032)&lt;/em&gt;</t>
  </si>
  <si>
    <t>9.6. South America ABC Market Size and Forecast, by Country (2024-2032)</t>
  </si>
  <si>
    <t>&lt;strong&gt;&lt;em&gt;9.6.1. Brazil&lt;/em&gt;&lt;/strong&gt;</t>
  </si>
  <si>
    <t>&lt;em&gt;9.6.1.1. Brazil ABC Market Size and Forecast, by Segment1 (2024-2032)&lt;/em&gt;</t>
  </si>
  <si>
    <t>&lt;em&gt;9.6.1.2. Brazil ABC Market Size and Forecast, by Segment2 (2024-2032)&lt;/em&gt;</t>
  </si>
  <si>
    <t>&lt;em&gt;9.6.1.3. Brazil ABC Market Size and Forecast, by Segment3 (2024-2032)&lt;/em&gt;</t>
  </si>
  <si>
    <t>&lt;em&gt;9.6.1.4. Brazil ABC Market Size and Forecast, by Segment4 (2024-2032)&lt;/em&gt;</t>
  </si>
  <si>
    <t>&lt;em&gt;9.6.1.5. Brazil ABC Market Size and Forecast, by Segment5 (2024-2032)&lt;/em&gt;</t>
  </si>
  <si>
    <t>&lt;strong&gt;&lt;em&gt;9.6.2. Argentina&lt;/em&gt;&lt;/strong&gt;</t>
  </si>
  <si>
    <t>&lt;em&gt;9.6.2.1. Argentina ABC Market Size and Forecast, by Segment1 (2024-2032)&lt;/em&gt;</t>
  </si>
  <si>
    <t>&lt;em&gt;9.6.2.2. Argentina ABC Market Size and Forecast, by Segment2 (2024-2032)&lt;/em&gt;</t>
  </si>
  <si>
    <t>&lt;em&gt;9.6.2.3. Argentina ABC Market Size and Forecast, by Segment3 (2024-2032)&lt;/em&gt;</t>
  </si>
  <si>
    <t>&lt;em&gt;9.6.2.4. Argentina ABC Market Size and Forecast, by Segment4 (2024-2032)&lt;/em&gt;</t>
  </si>
  <si>
    <t>&lt;em&gt;9.6.2.5. Argentina ABC Market Size and Forecast, by Segment5 (2024-2032)&lt;/em&gt;</t>
  </si>
  <si>
    <t>&lt;strong&gt;&lt;em&gt;9.6.3. Rest Of South America&lt;/em&gt;&lt;/strong&gt;</t>
  </si>
  <si>
    <t>&lt;em&gt;9.6.3.1. Rest Of South America ABC Market Size and Forecast, by Segment1 (2024-2032)&lt;/em&gt;</t>
  </si>
  <si>
    <t>&lt;em&gt;9.6.3.2. Rest Of South America ABC Market Size and Forecast, by Segment2 (2024-2032)&lt;/em&gt;</t>
  </si>
  <si>
    <t>&lt;em&gt;9.6.3.3. Rest Of South America ABC Market Size and Forecast, by Segment3 (2024-2032)&lt;/em&gt;</t>
  </si>
  <si>
    <t>&lt;em&gt;9.6.3.4. Rest Of South America ABC Market Size and Forecast, by Segment4 (2024-2032)&lt;/em&gt;</t>
  </si>
  <si>
    <t>&lt;em&gt;9.6.3.5. Rest Of South America ABC Market Size and Forecast, by Segment5 (2024-2032)&lt;/em&gt;</t>
  </si>
  <si>
    <t>4.5. ABC Market Size and Forecast, by Region (2024-2032)</t>
  </si>
  <si>
    <t>&lt;em&gt;4.5.1. North America&lt;/em&gt;</t>
  </si>
  <si>
    <t>&lt;em&gt;4.5.2. Europe&lt;/em&gt;</t>
  </si>
  <si>
    <t>&lt;em&gt;4.5.3. Asia Pacific&lt;/em&gt;</t>
  </si>
  <si>
    <t>&lt;em&gt;4.5.4. Middle East and Africa&lt;/em&gt;</t>
  </si>
  <si>
    <t>&lt;em&gt;4.5.5. South America&lt;/em&gt;</t>
  </si>
  <si>
    <t>5.5. North America ABC Market Size and Forecast, by Country (2024-2032)</t>
  </si>
  <si>
    <t>&lt;strong&gt;&lt;em&gt;5.5.1. United States&lt;/em&gt;&lt;/strong&gt;</t>
  </si>
  <si>
    <t>&lt;em&gt;5.5.1.1. United States ABC Market Size and Forecast, by Segment1 (2024-2032)&lt;/em&gt;</t>
  </si>
  <si>
    <t>&lt;em&gt;5.5.1.1.1. AA1&lt;/em&gt;</t>
  </si>
  <si>
    <t>&lt;em&gt;5.5.1.1.2. AA2&lt;/em&gt;</t>
  </si>
  <si>
    <t>&lt;em&gt;5.5.1.1.3. AA3&lt;/em&gt;</t>
  </si>
  <si>
    <t>&lt;em&gt;5.5.1.1.4. AA4&lt;/em&gt;</t>
  </si>
  <si>
    <t>&lt;em&gt;5.5.1.1.5. AA5&lt;/em&gt;</t>
  </si>
  <si>
    <t>&lt;em&gt;5.5.1.1.6. AA6&lt;/em&gt;</t>
  </si>
  <si>
    <t>&lt;em&gt;5.5.1.1.7. AA7&lt;/em&gt;</t>
  </si>
  <si>
    <t>&lt;em&gt;5.5.1.1.8. AA8&lt;/em&gt;</t>
  </si>
  <si>
    <t>&lt;em&gt;5.5.1.1.9. AA9&lt;/em&gt;</t>
  </si>
  <si>
    <t>&lt;em&gt;5.5.1.1.10. AA10&lt;/em&gt;</t>
  </si>
  <si>
    <t>&lt;em&gt;5.5.1.1.11. AA11&lt;/em&gt;</t>
  </si>
  <si>
    <t>&lt;em&gt;5.5.1.1.12. AA12&lt;/em&gt;</t>
  </si>
  <si>
    <t>&lt;em&gt;5.5.1.1.13. AA13&lt;/em&gt;</t>
  </si>
  <si>
    <t>&lt;em&gt;5.5.1.1.14. AA14&lt;/em&gt;</t>
  </si>
  <si>
    <t>&lt;em&gt;5.5.1.1.15. AA15&lt;/em&gt;</t>
  </si>
  <si>
    <t>&lt;em&gt;5.5.1.2. United States ABC Market Size and Forecast, by Segment2 (2024-2032)&lt;/em&gt;</t>
  </si>
  <si>
    <t>&lt;em&gt;5.5.1.2.1. BB1&lt;/em&gt;</t>
  </si>
  <si>
    <t>&lt;em&gt;5.5.1.2.2. BB2&lt;/em&gt;</t>
  </si>
  <si>
    <t>&lt;em&gt;5.5.1.2.3. BB3&lt;/em&gt;</t>
  </si>
  <si>
    <t>&lt;em&gt;5.5.1.2.4. BB4&lt;/em&gt;</t>
  </si>
  <si>
    <t>&lt;em&gt;5.5.1.2.5. BB5&lt;/em&gt;</t>
  </si>
  <si>
    <t>&lt;em&gt;5.5.1.2.6. BB6&lt;/em&gt;</t>
  </si>
  <si>
    <t>&lt;em&gt;5.5.1.2.7. BB7&lt;/em&gt;</t>
  </si>
  <si>
    <t>&lt;em&gt;5.5.1.2.8. BB8&lt;/em&gt;</t>
  </si>
  <si>
    <t>&lt;em&gt;5.5.1.2.9. BB9&lt;/em&gt;</t>
  </si>
  <si>
    <t>&lt;em&gt;5.5.1.2.10. BB10&lt;/em&gt;</t>
  </si>
  <si>
    <t>&lt;em&gt;5.5.1.2.11. BB11&lt;/em&gt;</t>
  </si>
  <si>
    <t>&lt;em&gt;5.5.1.2.12. BB12&lt;/em&gt;</t>
  </si>
  <si>
    <t>&lt;em&gt;5.5.1.2.13. BB13&lt;/em&gt;</t>
  </si>
  <si>
    <t>&lt;em&gt;5.5.1.2.14. BB14&lt;/em&gt;</t>
  </si>
  <si>
    <t>&lt;em&gt;5.5.1.2.15. BB15&lt;/em&gt;</t>
  </si>
  <si>
    <t>&lt;em&gt;5.5.1.3. United States ABC Market Size and Forecast, by Segment3 (2024-2032)&lt;/em&gt;</t>
  </si>
  <si>
    <t>&lt;em&gt;5.5.1.3.1. CC1&lt;/em&gt;</t>
  </si>
  <si>
    <t>&lt;em&gt;5.5.1.3.2. CC2&lt;/em&gt;</t>
  </si>
  <si>
    <t>&lt;em&gt;5.5.1.3.3. CC3&lt;/em&gt;</t>
  </si>
  <si>
    <t>&lt;em&gt;5.5.1.3.4. CC4&lt;/em&gt;</t>
  </si>
  <si>
    <t>&lt;em&gt;5.5.1.3.5. CC5&lt;/em&gt;</t>
  </si>
  <si>
    <t>&lt;em&gt;5.5.1.3.6. CC6&lt;/em&gt;</t>
  </si>
  <si>
    <t>&lt;em&gt;5.5.1.3.7. CC7&lt;/em&gt;</t>
  </si>
  <si>
    <t>&lt;em&gt;5.5.1.3.8. CC8&lt;/em&gt;</t>
  </si>
  <si>
    <t>&lt;em&gt;5.5.1.3.9. CC9&lt;/em&gt;</t>
  </si>
  <si>
    <t>&lt;em&gt;5.5.1.3.10. CC10&lt;/em&gt;</t>
  </si>
  <si>
    <t>&lt;em&gt;5.5.1.3.11. CC11&lt;/em&gt;</t>
  </si>
  <si>
    <t>&lt;em&gt;5.5.1.3.12. CC12&lt;/em&gt;</t>
  </si>
  <si>
    <t>&lt;em&gt;5.5.1.3.13. CC13&lt;/em&gt;</t>
  </si>
  <si>
    <t>&lt;em&gt;5.5.1.3.14. CC14&lt;/em&gt;</t>
  </si>
  <si>
    <t>&lt;em&gt;5.5.1.3.15. CC15&lt;/em&gt;</t>
  </si>
  <si>
    <t>&lt;em&gt;5.5.1.4. United States ABC Market Size and Forecast, by Segment4 (2024-2032)&lt;/em&gt;</t>
  </si>
  <si>
    <t>&lt;em&gt;5.5.1.4.1. DD1&lt;/em&gt;</t>
  </si>
  <si>
    <t>&lt;em&gt;5.5.1.4.2. DD2&lt;/em&gt;</t>
  </si>
  <si>
    <t>&lt;em&gt;5.5.1.4.3. DD3&lt;/em&gt;</t>
  </si>
  <si>
    <t>&lt;em&gt;5.5.1.4.4. DD4&lt;/em&gt;</t>
  </si>
  <si>
    <t>&lt;em&gt;5.5.1.4.5. DD5&lt;/em&gt;</t>
  </si>
  <si>
    <t>&lt;em&gt;5.5.1.4.6. DD6&lt;/em&gt;</t>
  </si>
  <si>
    <t>&lt;em&gt;5.5.1.4.7. DD7&lt;/em&gt;</t>
  </si>
  <si>
    <t>&lt;em&gt;5.5.1.4.8. DD8&lt;/em&gt;</t>
  </si>
  <si>
    <t>&lt;em&gt;5.5.1.4.9. DD9&lt;/em&gt;</t>
  </si>
  <si>
    <t>&lt;em&gt;5.5.1.4.10. DD10&lt;/em&gt;</t>
  </si>
  <si>
    <t>&lt;em&gt;5.5.1.4.11. DD11&lt;/em&gt;</t>
  </si>
  <si>
    <t>&lt;em&gt;5.5.1.4.12. DD12&lt;/em&gt;</t>
  </si>
  <si>
    <t>&lt;em&gt;5.5.1.4.13. DD13&lt;/em&gt;</t>
  </si>
  <si>
    <t>&lt;em&gt;5.5.1.4.14. DD14&lt;/em&gt;</t>
  </si>
  <si>
    <t>&lt;em&gt;5.5.1.4.15. DD15&lt;/em&gt;</t>
  </si>
  <si>
    <t>&lt;strong&gt;&lt;em&gt;5.5.2. Canada&lt;/em&gt;&lt;/strong&gt;</t>
  </si>
  <si>
    <t>&lt;em&gt;5.5.2.1. Canada ABC Market Size and Forecast, by Segment1 (2024-2032)&lt;/em&gt;</t>
  </si>
  <si>
    <t>&lt;em&gt;5.5.2.1.1. AA1&lt;/em&gt;</t>
  </si>
  <si>
    <t>&lt;em&gt;5.5.2.1.2. AA2&lt;/em&gt;</t>
  </si>
  <si>
    <t>&lt;em&gt;5.5.2.1.3. AA3&lt;/em&gt;</t>
  </si>
  <si>
    <t>&lt;em&gt;5.5.2.1.4. AA4&lt;/em&gt;</t>
  </si>
  <si>
    <t>&lt;em&gt;5.5.2.1.5. AA5&lt;/em&gt;</t>
  </si>
  <si>
    <t>&lt;em&gt;5.5.2.1.6. AA6&lt;/em&gt;</t>
  </si>
  <si>
    <t>&lt;em&gt;5.5.2.1.7. AA7&lt;/em&gt;</t>
  </si>
  <si>
    <t>&lt;em&gt;5.5.2.1.8. AA8&lt;/em&gt;</t>
  </si>
  <si>
    <t>&lt;em&gt;5.5.2.1.9. AA9&lt;/em&gt;</t>
  </si>
  <si>
    <t>&lt;em&gt;5.5.2.1.10. AA10&lt;/em&gt;</t>
  </si>
  <si>
    <t>&lt;em&gt;5.5.2.1.11. AA11&lt;/em&gt;</t>
  </si>
  <si>
    <t>&lt;em&gt;5.5.2.1.12. AA12&lt;/em&gt;</t>
  </si>
  <si>
    <t>&lt;em&gt;5.5.2.1.13. AA13&lt;/em&gt;</t>
  </si>
  <si>
    <t>&lt;em&gt;5.5.2.1.14. AA14&lt;/em&gt;</t>
  </si>
  <si>
    <t>&lt;em&gt;5.5.2.1.15. AA15&lt;/em&gt;</t>
  </si>
  <si>
    <t>&lt;em&gt;5.5.2.2. Canada ABC Market Size and Forecast, by Segment2 (2024-2032)&lt;/em&gt;</t>
  </si>
  <si>
    <t>&lt;em&gt;5.5.2.2.1. BB1&lt;/em&gt;</t>
  </si>
  <si>
    <t>&lt;em&gt;5.5.2.2.2. BB2&lt;/em&gt;</t>
  </si>
  <si>
    <t>&lt;em&gt;5.5.2.2.3. BB3&lt;/em&gt;</t>
  </si>
  <si>
    <t>&lt;em&gt;5.5.2.2.4. BB4&lt;/em&gt;</t>
  </si>
  <si>
    <t>&lt;em&gt;5.5.2.2.5. BB5&lt;/em&gt;</t>
  </si>
  <si>
    <t>&lt;em&gt;5.5.2.2.6. BB6&lt;/em&gt;</t>
  </si>
  <si>
    <t>&lt;em&gt;5.5.2.2.7. BB7&lt;/em&gt;</t>
  </si>
  <si>
    <t>&lt;em&gt;5.5.2.2.8. BB8&lt;/em&gt;</t>
  </si>
  <si>
    <t>&lt;em&gt;5.5.2.2.9. BB9&lt;/em&gt;</t>
  </si>
  <si>
    <t>&lt;em&gt;5.5.2.2.10. BB10&lt;/em&gt;</t>
  </si>
  <si>
    <t>&lt;em&gt;5.5.2.2.11. BB11&lt;/em&gt;</t>
  </si>
  <si>
    <t>&lt;em&gt;5.5.2.2.12. BB12&lt;/em&gt;</t>
  </si>
  <si>
    <t>&lt;em&gt;5.5.2.2.13. BB13&lt;/em&gt;</t>
  </si>
  <si>
    <t>&lt;em&gt;5.5.2.2.14. BB14&lt;/em&gt;</t>
  </si>
  <si>
    <t>&lt;em&gt;5.5.2.2.15. BB15&lt;/em&gt;</t>
  </si>
  <si>
    <t>&lt;em&gt;5.5.2.3. Canada ABC Market Size and Forecast, by Segment3 (2024-2032)&lt;/em&gt;</t>
  </si>
  <si>
    <t>&lt;em&gt;5.5.2.3.1. CC1&lt;/em&gt;</t>
  </si>
  <si>
    <t>&lt;em&gt;5.5.2.3.2. CC2&lt;/em&gt;</t>
  </si>
  <si>
    <t>&lt;em&gt;5.5.2.3.3. CC3&lt;/em&gt;</t>
  </si>
  <si>
    <t>&lt;em&gt;5.5.2.3.4. CC4&lt;/em&gt;</t>
  </si>
  <si>
    <t>&lt;em&gt;5.5.2.3.5. CC5&lt;/em&gt;</t>
  </si>
  <si>
    <t>&lt;em&gt;5.5.2.3.6. CC6&lt;/em&gt;</t>
  </si>
  <si>
    <t>&lt;em&gt;5.5.2.3.7. CC7&lt;/em&gt;</t>
  </si>
  <si>
    <t>&lt;em&gt;5.5.2.3.8. CC8&lt;/em&gt;</t>
  </si>
  <si>
    <t>&lt;em&gt;5.5.2.3.9. CC9&lt;/em&gt;</t>
  </si>
  <si>
    <t>&lt;em&gt;5.5.2.3.10. CC10&lt;/em&gt;</t>
  </si>
  <si>
    <t>&lt;em&gt;5.5.2.3.11. CC11&lt;/em&gt;</t>
  </si>
  <si>
    <t>&lt;em&gt;5.5.2.3.12. CC12&lt;/em&gt;</t>
  </si>
  <si>
    <t>&lt;em&gt;5.5.2.3.13. CC13&lt;/em&gt;</t>
  </si>
  <si>
    <t>&lt;em&gt;5.5.2.3.14. CC14&lt;/em&gt;</t>
  </si>
  <si>
    <t>&lt;em&gt;5.5.2.3.15. CC15&lt;/em&gt;</t>
  </si>
  <si>
    <t>&lt;em&gt;5.5.2.4. Canada ABC Market Size and Forecast, by Segment4 (2024-2032)&lt;/em&gt;</t>
  </si>
  <si>
    <t>&lt;em&gt;5.5.2.4.1. DD1&lt;/em&gt;</t>
  </si>
  <si>
    <t>&lt;em&gt;5.5.2.4.2. DD2&lt;/em&gt;</t>
  </si>
  <si>
    <t>&lt;em&gt;5.5.2.4.3. DD3&lt;/em&gt;</t>
  </si>
  <si>
    <t>&lt;em&gt;5.5.2.4.4. DD4&lt;/em&gt;</t>
  </si>
  <si>
    <t>&lt;em&gt;5.5.2.4.5. DD5&lt;/em&gt;</t>
  </si>
  <si>
    <t>&lt;em&gt;5.5.2.4.6. DD6&lt;/em&gt;</t>
  </si>
  <si>
    <t>&lt;em&gt;5.5.2.4.7. DD7&lt;/em&gt;</t>
  </si>
  <si>
    <t>&lt;em&gt;5.5.2.4.8. DD8&lt;/em&gt;</t>
  </si>
  <si>
    <t>&lt;em&gt;5.5.2.4.9. DD9&lt;/em&gt;</t>
  </si>
  <si>
    <t>&lt;em&gt;5.5.2.4.10. DD10&lt;/em&gt;</t>
  </si>
  <si>
    <t>&lt;em&gt;5.5.2.4.11. DD11&lt;/em&gt;</t>
  </si>
  <si>
    <t>&lt;em&gt;5.5.2.4.12. DD12&lt;/em&gt;</t>
  </si>
  <si>
    <t>&lt;em&gt;5.5.2.4.13. DD13&lt;/em&gt;</t>
  </si>
  <si>
    <t>&lt;em&gt;5.5.2.4.14. DD14&lt;/em&gt;</t>
  </si>
  <si>
    <t>&lt;em&gt;5.5.2.4.15. DD15&lt;/em&gt;</t>
  </si>
  <si>
    <t>&lt;strong&gt;&lt;em&gt;5.5.3. Mexico&lt;/em&gt;&lt;/strong&gt;</t>
  </si>
  <si>
    <t>&lt;em&gt;5.5.3.1. Mexico ABC Market Size and Forecast, by Segment1 (2024-2032)&lt;/em&gt;</t>
  </si>
  <si>
    <t>&lt;em&gt;5.5.3.1.1. AA1&lt;/em&gt;</t>
  </si>
  <si>
    <t>&lt;em&gt;5.5.3.1.2. AA2&lt;/em&gt;</t>
  </si>
  <si>
    <t>&lt;em&gt;5.5.3.1.3. AA3&lt;/em&gt;</t>
  </si>
  <si>
    <t>&lt;em&gt;5.5.3.1.4. AA4&lt;/em&gt;</t>
  </si>
  <si>
    <t>&lt;em&gt;5.5.3.1.5. AA5&lt;/em&gt;</t>
  </si>
  <si>
    <t>&lt;em&gt;5.5.3.1.6. AA6&lt;/em&gt;</t>
  </si>
  <si>
    <t>&lt;em&gt;5.5.3.1.7. AA7&lt;/em&gt;</t>
  </si>
  <si>
    <t>&lt;em&gt;5.5.3.1.8. AA8&lt;/em&gt;</t>
  </si>
  <si>
    <t>&lt;em&gt;5.5.3.1.9. AA9&lt;/em&gt;</t>
  </si>
  <si>
    <t>&lt;em&gt;5.5.3.1.10. AA10&lt;/em&gt;</t>
  </si>
  <si>
    <t>&lt;em&gt;5.5.3.1.11. AA11&lt;/em&gt;</t>
  </si>
  <si>
    <t>&lt;em&gt;5.5.3.1.12. AA12&lt;/em&gt;</t>
  </si>
  <si>
    <t>&lt;em&gt;5.5.3.1.13. AA13&lt;/em&gt;</t>
  </si>
  <si>
    <t>&lt;em&gt;5.5.3.1.14. AA14&lt;/em&gt;</t>
  </si>
  <si>
    <t>&lt;em&gt;5.5.3.1.15. AA15&lt;/em&gt;</t>
  </si>
  <si>
    <t>&lt;em&gt;5.5.3.2. Mexico ABC Market Size and Forecast, by Segment2 (2024-2032)&lt;/em&gt;</t>
  </si>
  <si>
    <t>&lt;em&gt;5.5.3.2.1. BB1&lt;/em&gt;</t>
  </si>
  <si>
    <t>&lt;em&gt;5.5.3.2.2. BB2&lt;/em&gt;</t>
  </si>
  <si>
    <t>&lt;em&gt;5.5.3.2.3. BB3&lt;/em&gt;</t>
  </si>
  <si>
    <t>&lt;em&gt;5.5.3.2.4. BB4&lt;/em&gt;</t>
  </si>
  <si>
    <t>&lt;em&gt;5.5.3.2.5. BB5&lt;/em&gt;</t>
  </si>
  <si>
    <t>&lt;em&gt;5.5.3.2.6. BB6&lt;/em&gt;</t>
  </si>
  <si>
    <t>&lt;em&gt;5.5.3.2.7. BB7&lt;/em&gt;</t>
  </si>
  <si>
    <t>&lt;em&gt;5.5.3.2.8. BB8&lt;/em&gt;</t>
  </si>
  <si>
    <t>&lt;em&gt;5.5.3.2.9. BB9&lt;/em&gt;</t>
  </si>
  <si>
    <t>&lt;em&gt;5.5.3.2.10. BB10&lt;/em&gt;</t>
  </si>
  <si>
    <t>&lt;em&gt;5.5.3.2.11. BB11&lt;/em&gt;</t>
  </si>
  <si>
    <t>&lt;em&gt;5.5.3.2.12. BB12&lt;/em&gt;</t>
  </si>
  <si>
    <t>&lt;em&gt;5.5.3.2.13. BB13&lt;/em&gt;</t>
  </si>
  <si>
    <t>&lt;em&gt;5.5.3.2.14. BB14&lt;/em&gt;</t>
  </si>
  <si>
    <t>&lt;em&gt;5.5.3.2.15. BB15&lt;/em&gt;</t>
  </si>
  <si>
    <t>&lt;em&gt;5.5.3.3. Mexico ABC Market Size and Forecast, by Segment3 (2024-2032)&lt;/em&gt;</t>
  </si>
  <si>
    <t>&lt;em&gt;5.5.3.3.1. CC1&lt;/em&gt;</t>
  </si>
  <si>
    <t>&lt;em&gt;5.5.3.3.2. CC2&lt;/em&gt;</t>
  </si>
  <si>
    <t>&lt;em&gt;5.5.3.3.3. CC3&lt;/em&gt;</t>
  </si>
  <si>
    <t>&lt;em&gt;5.5.3.3.4. CC4&lt;/em&gt;</t>
  </si>
  <si>
    <t>&lt;em&gt;5.5.3.3.5. CC5&lt;/em&gt;</t>
  </si>
  <si>
    <t>&lt;em&gt;5.5.3.3.6. CC6&lt;/em&gt;</t>
  </si>
  <si>
    <t>&lt;em&gt;5.5.3.3.7. CC7&lt;/em&gt;</t>
  </si>
  <si>
    <t>&lt;em&gt;5.5.3.3.8. CC8&lt;/em&gt;</t>
  </si>
  <si>
    <t>&lt;em&gt;5.5.3.3.9. CC9&lt;/em&gt;</t>
  </si>
  <si>
    <t>&lt;em&gt;5.5.3.3.10. CC10&lt;/em&gt;</t>
  </si>
  <si>
    <t>&lt;em&gt;5.5.3.3.11. CC11&lt;/em&gt;</t>
  </si>
  <si>
    <t>&lt;em&gt;5.5.3.3.12. CC12&lt;/em&gt;</t>
  </si>
  <si>
    <t>&lt;em&gt;5.5.3.3.13. CC13&lt;/em&gt;</t>
  </si>
  <si>
    <t>&lt;em&gt;5.5.3.3.14. CC14&lt;/em&gt;</t>
  </si>
  <si>
    <t>&lt;em&gt;5.5.3.3.15. CC15&lt;/em&gt;</t>
  </si>
  <si>
    <t>&lt;em&gt;5.5.3.4. Mexico ABC Market Size and Forecast, by Segment4 (2024-2032)&lt;/em&gt;</t>
  </si>
  <si>
    <t>&lt;em&gt;5.5.3.4.1. DD1&lt;/em&gt;</t>
  </si>
  <si>
    <t>&lt;em&gt;5.5.3.4.2. DD2&lt;/em&gt;</t>
  </si>
  <si>
    <t>&lt;em&gt;5.5.3.4.3. DD3&lt;/em&gt;</t>
  </si>
  <si>
    <t>&lt;em&gt;5.5.3.4.4. DD4&lt;/em&gt;</t>
  </si>
  <si>
    <t>&lt;em&gt;5.5.3.4.5. DD5&lt;/em&gt;</t>
  </si>
  <si>
    <t>&lt;em&gt;5.5.3.4.6. DD6&lt;/em&gt;</t>
  </si>
  <si>
    <t>&lt;em&gt;5.5.3.4.7. DD7&lt;/em&gt;</t>
  </si>
  <si>
    <t>&lt;em&gt;5.5.3.4.8. DD8&lt;/em&gt;</t>
  </si>
  <si>
    <t>&lt;em&gt;5.5.3.4.9. DD9&lt;/em&gt;</t>
  </si>
  <si>
    <t>&lt;em&gt;5.5.3.4.10. DD10&lt;/em&gt;</t>
  </si>
  <si>
    <t>&lt;em&gt;5.5.3.4.11. DD11&lt;/em&gt;</t>
  </si>
  <si>
    <t>&lt;em&gt;5.5.3.4.12. DD12&lt;/em&gt;</t>
  </si>
  <si>
    <t>&lt;em&gt;5.5.3.4.13. DD13&lt;/em&gt;</t>
  </si>
  <si>
    <t>&lt;em&gt;5.5.3.4.14. DD14&lt;/em&gt;</t>
  </si>
  <si>
    <t>&lt;em&gt;5.5.3.4.15. DD15&lt;/em&gt;</t>
  </si>
  <si>
    <t>6.5. Europe ABC Market Size and Forecast, by Country (2024-2032)</t>
  </si>
  <si>
    <t>&lt;strong&gt;&lt;em&gt;6.5.1. United Kingdom&lt;/em&gt;&lt;/strong&gt;</t>
  </si>
  <si>
    <t>&lt;em&gt;6.5.1.1. United Kingdom ABC Market Size and Forecast, by Segment1 (2024-2032)&lt;/em&gt;</t>
  </si>
  <si>
    <t>&lt;em&gt;6.5.1.2. United Kingdom ABC Market Size and Forecast, by Segment2 (2024-2032)&lt;/em&gt;</t>
  </si>
  <si>
    <t>&lt;em&gt;6.5.1.3. United Kingdom ABC Market Size and Forecast, by Segment3 (2024-2032)&lt;/em&gt;</t>
  </si>
  <si>
    <t>&lt;em&gt;6.5.1.4. United Kingdom ABC Market Size and Forecast, by Segment4 (2024-2032)&lt;/em&gt;</t>
  </si>
  <si>
    <t>&lt;strong&gt;&lt;em&gt;6.5.2. France&lt;/em&gt;&lt;/strong&gt;</t>
  </si>
  <si>
    <t>&lt;em&gt;6.5.2.1. France ABC Market Size and Forecast, by Segment1 (2024-2032)&lt;/em&gt;</t>
  </si>
  <si>
    <t>&lt;em&gt;6.5.2.2. France ABC Market Size and Forecast, by Segment2 (2024-2032)&lt;/em&gt;</t>
  </si>
  <si>
    <t>&lt;em&gt;6.5.2.3. France ABC Market Size and Forecast, by Segment3 (2024-2032)&lt;/em&gt;</t>
  </si>
  <si>
    <t>&lt;em&gt;6.5.2.4. France ABC Market Size and Forecast, by Segment4 (2024-2032)&lt;/em&gt;</t>
  </si>
  <si>
    <t>&lt;strong&gt;&lt;em&gt;6.5.3. Germany&lt;/em&gt;&lt;/strong&gt;</t>
  </si>
  <si>
    <t>&lt;em&gt;6.5.3.1. Germany ABC Market Size and Forecast, by Segment1 (2024-2032)&lt;/em&gt;</t>
  </si>
  <si>
    <t>&lt;em&gt;6.5.3.2. Germany ABC Market Size and Forecast, by Segment2 (2024-2032)&lt;/em&gt;</t>
  </si>
  <si>
    <t>&lt;em&gt;6.5.3.3. Germany ABC Market Size and Forecast, by Segment3 (2024-2032)&lt;/em&gt;</t>
  </si>
  <si>
    <t>&lt;em&gt;6.5.3.4. Germany ABC Market Size and Forecast, by Segment4 (2024-2032)&lt;/em&gt;</t>
  </si>
  <si>
    <t>&lt;strong&gt;&lt;em&gt;6.5.4. Italy&lt;/em&gt;&lt;/strong&gt;</t>
  </si>
  <si>
    <t>&lt;em&gt;6.5.4.1. Italy ABC Market Size and Forecast, by Segment1 (2024-2032)&lt;/em&gt;</t>
  </si>
  <si>
    <t>&lt;em&gt;6.5.4.2. Italy ABC Market Size and Forecast, by Segment2 (2024-2032)&lt;/em&gt;</t>
  </si>
  <si>
    <t>&lt;em&gt;6.5.4.3. Italy ABC Market Size and Forecast, by Segment3 (2024-2032)&lt;/em&gt;</t>
  </si>
  <si>
    <t>&lt;em&gt;6.5.4.4. Italy ABC Market Size and Forecast, by Segment4 (2024-2032)&lt;/em&gt;</t>
  </si>
  <si>
    <t>&lt;strong&gt;&lt;em&gt;6.5.5. Spain&lt;/em&gt;&lt;/strong&gt;</t>
  </si>
  <si>
    <t>&lt;em&gt;6.5.5.1. Spain ABC Market Size and Forecast, by Segment1 (2024-2032)&lt;/em&gt;</t>
  </si>
  <si>
    <t>&lt;em&gt;6.5.5.2. Spain ABC Market Size and Forecast, by Segment2 (2024-2032)&lt;/em&gt;</t>
  </si>
  <si>
    <t>&lt;em&gt;6.5.5.3. Spain ABC Market Size and Forecast, by Segment3 (2024-2032)&lt;/em&gt;</t>
  </si>
  <si>
    <t>&lt;em&gt;6.5.5.4. Spain ABC Market Size and Forecast, by Segment4 (2024-2032)&lt;/em&gt;</t>
  </si>
  <si>
    <t>&lt;strong&gt;&lt;em&gt;6.5.6. Sweden&lt;/em&gt;&lt;/strong&gt;</t>
  </si>
  <si>
    <t>&lt;em&gt;6.5.6.1. Sweden ABC Market Size and Forecast, by Segment1 (2024-2032)&lt;/em&gt;</t>
  </si>
  <si>
    <t>&lt;em&gt;6.5.6.2. Sweden ABC Market Size and Forecast, by Segment2 (2024-2032)&lt;/em&gt;</t>
  </si>
  <si>
    <t>&lt;em&gt;6.5.6.3. Sweden ABC Market Size and Forecast, by Segment3 (2024-2032)&lt;/em&gt;</t>
  </si>
  <si>
    <t>&lt;em&gt;6.5.6.4. Sweden ABC Market Size and Forecast, by Segment4 (2024-2032)&lt;/em&gt;</t>
  </si>
  <si>
    <t>&lt;strong&gt;&lt;em&gt;6.5.7. Austria&lt;/em&gt;&lt;/strong&gt;</t>
  </si>
  <si>
    <t>&lt;em&gt;6.5.7.1. Austria ABC Market Size and Forecast, by Segment1 (2024-2032)&lt;/em&gt;</t>
  </si>
  <si>
    <t>&lt;em&gt;6.5.7.2. Austria ABC Market Size and Forecast, by Segment2 (2024-2032)&lt;/em&gt;</t>
  </si>
  <si>
    <t>&lt;em&gt;6.5.7.3. Austria ABC Market Size and Forecast, by Segment3 (2024-2032)&lt;/em&gt;</t>
  </si>
  <si>
    <t>&lt;em&gt;6.5.7.4. Austria ABC Market Size and Forecast, by Segment4 (2024-2032)&lt;/em&gt;</t>
  </si>
  <si>
    <t>&lt;strong&gt;&lt;em&gt;6.5.8. Rest of Europe&lt;/em&gt;&lt;/strong&gt;</t>
  </si>
  <si>
    <t>&lt;em&gt;6.5.8.1. Rest of Europe ABC Market Size and Forecast, by Segment1 (2024-2032)&lt;/em&gt;</t>
  </si>
  <si>
    <t>&lt;em&gt;6.5.8.2. Rest of Europe ABC Market Size and Forecast, by Segment2 (2024-2032)&lt;/em&gt;</t>
  </si>
  <si>
    <t>&lt;em&gt;6.5.8.3. Rest of Europe ABC Market Size and Forecast, by Segment3 (2024-2032)&lt;/em&gt;</t>
  </si>
  <si>
    <t>&lt;em&gt;6.5.8.4. Rest of Europe ABC Market Size and Forecast, by Segment4 (2024-2032)&lt;/em&gt;</t>
  </si>
  <si>
    <t>7.5. Asia Pacific ABC Market Size and Forecast, by Country (2024-2032)</t>
  </si>
  <si>
    <t>&lt;strong&gt;&lt;em&gt;7.5.1. China&lt;/em&gt;&lt;/strong&gt;</t>
  </si>
  <si>
    <t>&lt;em&gt;7.5.1.1. China ABC Market Size and Forecast, by Segment1 (2024-2032)&lt;/em&gt;</t>
  </si>
  <si>
    <t>&lt;em&gt;7.5.1.2. China ABC Market Size and Forecast, by Segment2 (2024-2032)&lt;/em&gt;</t>
  </si>
  <si>
    <t>&lt;em&gt;7.5.1.3. China ABC Market Size and Forecast, by Segment3 (2024-2032)&lt;/em&gt;</t>
  </si>
  <si>
    <t>&lt;em&gt;7.5.1.4. China ABC Market Size and Forecast, by Segment4 (2024-2032)&lt;/em&gt;</t>
  </si>
  <si>
    <t>&lt;strong&gt;&lt;em&gt;7.5.2. S Korea&lt;/em&gt;&lt;/strong&gt;</t>
  </si>
  <si>
    <t>&lt;em&gt;7.5.2.1. S Korea ABC Market Size and Forecast, by Segment1 (2024-2032)&lt;/em&gt;</t>
  </si>
  <si>
    <t>&lt;em&gt;7.5.2.2. S Korea ABC Market Size and Forecast, by Segment2 (2024-2032)&lt;/em&gt;</t>
  </si>
  <si>
    <t>&lt;em&gt;7.5.2.3. S Korea ABC Market Size and Forecast, by Segment3 (2024-2032)&lt;/em&gt;</t>
  </si>
  <si>
    <t>&lt;em&gt;7.5.2.4. S Korea ABC Market Size and Forecast, by Segment4 (2024-2032)&lt;/em&gt;</t>
  </si>
  <si>
    <t>&lt;strong&gt;&lt;em&gt;7.5.3. Japan&lt;/em&gt;&lt;/strong&gt;</t>
  </si>
  <si>
    <t>&lt;em&gt;7.5.3.1. Japan ABC Market Size and Forecast, by Segment1 (2024-2032)&lt;/em&gt;</t>
  </si>
  <si>
    <t>&lt;em&gt;7.5.3.2. Japan ABC Market Size and Forecast, by Segment2 (2024-2032)&lt;/em&gt;</t>
  </si>
  <si>
    <t>&lt;em&gt;7.5.3.3. Japan ABC Market Size and Forecast, by Segment3 (2024-2032)&lt;/em&gt;</t>
  </si>
  <si>
    <t>&lt;em&gt;7.5.3.4. Japan ABC Market Size and Forecast, by Segment4 (2024-2032)&lt;/em&gt;</t>
  </si>
  <si>
    <t>&lt;strong&gt;&lt;em&gt;7.5.4. India&lt;/em&gt;&lt;/strong&gt;</t>
  </si>
  <si>
    <t>&lt;em&gt;7.5.4.1. India ABC Market Size and Forecast, by Segment1 (2024-2032)&lt;/em&gt;</t>
  </si>
  <si>
    <t>&lt;em&gt;7.5.4.2. India ABC Market Size and Forecast, by Segment2 (2024-2032)&lt;/em&gt;</t>
  </si>
  <si>
    <t>&lt;em&gt;7.5.4.3. India ABC Market Size and Forecast, by Segment3 (2024-2032)&lt;/em&gt;</t>
  </si>
  <si>
    <t>&lt;em&gt;7.5.4.4. India ABC Market Size and Forecast, by Segment4 (2024-2032)&lt;/em&gt;</t>
  </si>
  <si>
    <t>&lt;strong&gt;&lt;em&gt;7.5.5. Australia&lt;/em&gt;&lt;/strong&gt;</t>
  </si>
  <si>
    <t>&lt;em&gt;7.5.5.1. Australia ABC Market Size and Forecast, by Segment1 (2024-2032)&lt;/em&gt;</t>
  </si>
  <si>
    <t>&lt;em&gt;7.5.5.2. Australia ABC Market Size and Forecast, by Segment2 (2024-2032)&lt;/em&gt;</t>
  </si>
  <si>
    <t>&lt;em&gt;7.5.5.3. Australia ABC Market Size and Forecast, by Segment3 (2024-2032)&lt;/em&gt;</t>
  </si>
  <si>
    <t>&lt;em&gt;7.5.5.4. Australia ABC Market Size and Forecast, by Segment4 (2024-2032)&lt;/em&gt;</t>
  </si>
  <si>
    <t>&lt;strong&gt;&lt;em&gt;7.5.6. Indonesia&lt;/em&gt;&lt;/strong&gt;</t>
  </si>
  <si>
    <t>&lt;em&gt;7.5.6.1. Indonesia ABC Market Size and Forecast, by Segment1 (2024-2032)&lt;/em&gt;</t>
  </si>
  <si>
    <t>&lt;em&gt;7.5.6.2. Indonesia ABC Market Size and Forecast, by Segment2 (2024-2032)&lt;/em&gt;</t>
  </si>
  <si>
    <t>&lt;em&gt;7.5.6.3. Indonesia ABC Market Size and Forecast, by Segment3 (2024-2032)&lt;/em&gt;</t>
  </si>
  <si>
    <t>&lt;em&gt;7.5.6.4. Indonesia ABC Market Size and Forecast, by Segment4 (2024-2032)&lt;/em&gt;</t>
  </si>
  <si>
    <t>&lt;strong&gt;&lt;em&gt;7.5.7. Malaysia&lt;/em&gt;&lt;/strong&gt;</t>
  </si>
  <si>
    <t>&lt;em&gt;7.5.7.1. Malaysia ABC Market Size and Forecast, by Segment1 (2024-2032)&lt;/em&gt;</t>
  </si>
  <si>
    <t>&lt;em&gt;7.5.7.2. Malaysia ABC Market Size and Forecast, by Segment2 (2024-2032)&lt;/em&gt;</t>
  </si>
  <si>
    <t>&lt;em&gt;7.5.7.3. Malaysia ABC Market Size and Forecast, by Segment3 (2024-2032)&lt;/em&gt;</t>
  </si>
  <si>
    <t>&lt;em&gt;7.5.7.4. Malaysia ABC Market Size and Forecast, by Segment4 (2024-2032)&lt;/em&gt;</t>
  </si>
  <si>
    <t>&lt;strong&gt;&lt;em&gt;7.5.8. Vietnam&lt;/em&gt;&lt;/strong&gt;</t>
  </si>
  <si>
    <t>&lt;em&gt;7.5.8.1. Vietnam ABC Market Size and Forecast, by Segment1 (2024-2032)&lt;/em&gt;</t>
  </si>
  <si>
    <t>&lt;em&gt;7.5.8.2. Vietnam ABC Market Size and Forecast, by Segment2 (2024-2032)&lt;/em&gt;</t>
  </si>
  <si>
    <t>&lt;em&gt;7.5.8.3. Vietnam ABC Market Size and Forecast, by Segment3 (2024-2032)&lt;/em&gt;</t>
  </si>
  <si>
    <t>&lt;em&gt;7.5.8.4. Vietnam ABC Market Size and Forecast, by Segment4 (2024-2032)&lt;/em&gt;</t>
  </si>
  <si>
    <t>&lt;strong&gt;&lt;em&gt;7.5.9. Taiwan&lt;/em&gt;&lt;/strong&gt;</t>
  </si>
  <si>
    <t>&lt;em&gt;7.5.9.1. Taiwan ABC Market Size and Forecast, by Segment1 (2024-2032)&lt;/em&gt;</t>
  </si>
  <si>
    <t>&lt;em&gt;7.5.9.2. Taiwan ABC Market Size and Forecast, by Segment2 (2024-2032)&lt;/em&gt;</t>
  </si>
  <si>
    <t>&lt;em&gt;7.5.9.3. Taiwan ABC Market Size and Forecast, by Segment3 (2024-2032)&lt;/em&gt;</t>
  </si>
  <si>
    <t>&lt;em&gt;7.5.9.4. Taiwan ABC Market Size and Forecast, by Segment4 (2024-2032)&lt;/em&gt;</t>
  </si>
  <si>
    <t>&lt;strong&gt;&lt;em&gt;7.5.10. Rest of Asia Pacific&lt;/em&gt;&lt;/strong&gt;</t>
  </si>
  <si>
    <t>&lt;em&gt;7.5.10.1. Rest of Asia Pacific ABC Market Size and Forecast, by Segment1 (2024-2032)&lt;/em&gt;</t>
  </si>
  <si>
    <t>&lt;em&gt;7.5.10.2. Rest of Asia Pacific ABC Market Size and Forecast, by Segment2 (2024-2032)&lt;/em&gt;</t>
  </si>
  <si>
    <t>&lt;em&gt;7.5.10.3. Rest of Asia Pacific ABC Market Size and Forecast, by Segment3 (2024-2032)&lt;/em&gt;</t>
  </si>
  <si>
    <t>&lt;em&gt;7.5.10.4. Rest of Asia Pacific ABC Market Size and Forecast, by Segment4 (2024-2032)&lt;/em&gt;</t>
  </si>
  <si>
    <t>8.5. Middle East and Africa ABC Market Size and Forecast, by Country (2024-2032)</t>
  </si>
  <si>
    <t>&lt;strong&gt;&lt;em&gt;8.5.1. South Africa&lt;/em&gt;&lt;/strong&gt;</t>
  </si>
  <si>
    <t>&lt;em&gt;8.5.1.1. South Africa ABC Market Size and Forecast, by Segment1 (2024-2032)&lt;/em&gt;</t>
  </si>
  <si>
    <t>&lt;em&gt;8.5.1.2. South Africa ABC Market Size and Forecast, by Segment2 (2024-2032)&lt;/em&gt;</t>
  </si>
  <si>
    <t>&lt;em&gt;8.5.1.3. South Africa ABC Market Size and Forecast, by Segment3 (2024-2032)&lt;/em&gt;</t>
  </si>
  <si>
    <t>&lt;em&gt;8.5.1.4. South Africa ABC Market Size and Forecast, by Segment4 (2024-2032)&lt;/em&gt;</t>
  </si>
  <si>
    <t>&lt;strong&gt;&lt;em&gt;8.5.2. GCC&lt;/em&gt;&lt;/strong&gt;</t>
  </si>
  <si>
    <t>&lt;em&gt;8.5.2.1. GCC ABC Market Size and Forecast, by Segment1 (2024-2032)&lt;/em&gt;</t>
  </si>
  <si>
    <t>&lt;em&gt;8.5.2.2. GCC ABC Market Size and Forecast, by Segment2 (2024-2032)&lt;/em&gt;</t>
  </si>
  <si>
    <t>&lt;em&gt;8.5.2.3. GCC ABC Market Size and Forecast, by Segment3 (2024-2032)&lt;/em&gt;</t>
  </si>
  <si>
    <t>&lt;em&gt;8.5.2.4. GCC ABC Market Size and Forecast, by Segment4 (2024-2032)&lt;/em&gt;</t>
  </si>
  <si>
    <t>&lt;strong&gt;&lt;em&gt;8.5.3. Nigeria&lt;/em&gt;&lt;/strong&gt;</t>
  </si>
  <si>
    <t>&lt;em&gt;8.5.3.1. Nigeria ABC Market Size and Forecast, by Segment1 (2024-2032)&lt;/em&gt;</t>
  </si>
  <si>
    <t>&lt;em&gt;8.5.3.2. Nigeria ABC Market Size and Forecast, by Segment2 (2024-2032)&lt;/em&gt;</t>
  </si>
  <si>
    <t>&lt;em&gt;8.5.3.3. Nigeria ABC Market Size and Forecast, by Segment3 (2024-2032)&lt;/em&gt;</t>
  </si>
  <si>
    <t>&lt;em&gt;8.5.3.4. Nigeria ABC Market Size and Forecast, by Segment4 (2024-2032)&lt;/em&gt;</t>
  </si>
  <si>
    <t>&lt;strong&gt;&lt;em&gt;8.5.4. Rest of ME&amp;amp;A&lt;/em&gt;&lt;/strong&gt;</t>
  </si>
  <si>
    <t>&lt;em&gt;8.5.4.1. Rest of ME&amp;amp;A ABC Market Size and Forecast, by Segment1 (2024-2032)&lt;/em&gt;</t>
  </si>
  <si>
    <t>&lt;em&gt;8.5.4.2. Rest of ME&amp;amp;A ABC Market Size and Forecast, by Segment2 (2024-2032)&lt;/em&gt;</t>
  </si>
  <si>
    <t>&lt;em&gt;8.5.4.3. Rest of ME&amp;amp;A ABC Market Size and Forecast, by Segment3 (2024-2032)&lt;/em&gt;</t>
  </si>
  <si>
    <t>&lt;em&gt;8.5.4.4. Rest of ME&amp;amp;A ABC Market Size and Forecast, by Segment4 (2024-2032)&lt;/em&gt;</t>
  </si>
  <si>
    <t>9.5. South America ABC Market Size and Forecast, by Country (2024-2032)</t>
  </si>
  <si>
    <t>&lt;strong&gt;&lt;em&gt;9.5.1. Brazil&lt;/em&gt;&lt;/strong&gt;</t>
  </si>
  <si>
    <t>&lt;em&gt;9.5.1.1. Brazil ABC Market Size and Forecast, by Segment1 (2024-2032)&lt;/em&gt;</t>
  </si>
  <si>
    <t>&lt;em&gt;9.5.1.2. Brazil ABC Market Size and Forecast, by Segment2 (2024-2032)&lt;/em&gt;</t>
  </si>
  <si>
    <t>&lt;em&gt;9.5.1.3. Brazil ABC Market Size and Forecast, by Segment3 (2024-2032)&lt;/em&gt;</t>
  </si>
  <si>
    <t>&lt;em&gt;9.5.1.4. Brazil ABC Market Size and Forecast, by Segment4 (2024-2032)&lt;/em&gt;</t>
  </si>
  <si>
    <t>&lt;strong&gt;&lt;em&gt;9.5.2. Argentina&lt;/em&gt;&lt;/strong&gt;</t>
  </si>
  <si>
    <t>&lt;em&gt;9.5.2.1. Argentina ABC Market Size and Forecast, by Segment1 (2024-2032)&lt;/em&gt;</t>
  </si>
  <si>
    <t>&lt;em&gt;9.5.2.2. Argentina ABC Market Size and Forecast, by Segment2 (2024-2032)&lt;/em&gt;</t>
  </si>
  <si>
    <t>&lt;em&gt;9.5.2.3. Argentina ABC Market Size and Forecast, by Segment3 (2024-2032)&lt;/em&gt;</t>
  </si>
  <si>
    <t>&lt;em&gt;9.5.2.4. Argentina ABC Market Size and Forecast, by Segment4 (2024-2032)&lt;/em&gt;</t>
  </si>
  <si>
    <t>&lt;strong&gt;&lt;em&gt;9.5.3. Rest Of South America&lt;/em&gt;&lt;/strong&gt;</t>
  </si>
  <si>
    <t>&lt;em&gt;9.5.3.1. Rest Of South America ABC Market Size and Forecast, by Segment1 (2024-2032)&lt;/em&gt;</t>
  </si>
  <si>
    <t>&lt;em&gt;9.5.3.2. Rest Of South America ABC Market Size and Forecast, by Segment2 (2024-2032)&lt;/em&gt;</t>
  </si>
  <si>
    <t>&lt;em&gt;9.5.3.3. Rest Of South America ABC Market Size and Forecast, by Segment3 (2024-2032)&lt;/em&gt;</t>
  </si>
  <si>
    <t>&lt;em&gt;9.5.3.4. Rest Of South America ABC Market Size and Forecast, by Segment4 (2024-2032)&lt;/em&gt;</t>
  </si>
  <si>
    <t>4.4. ABC Market Size and Forecast, by Region (2024-2032)</t>
  </si>
  <si>
    <t>&lt;em&gt;4.4.1. North America&lt;/em&gt;</t>
  </si>
  <si>
    <t>&lt;em&gt;4.4.2. Europe&lt;/em&gt;</t>
  </si>
  <si>
    <t>&lt;em&gt;4.4.3. Asia Pacific&lt;/em&gt;</t>
  </si>
  <si>
    <t>&lt;em&gt;4.4.4. Middle East and Africa&lt;/em&gt;</t>
  </si>
  <si>
    <t>&lt;em&gt;4.4.5. South America&lt;/em&gt;</t>
  </si>
  <si>
    <t>5.4. North America ABC Market Size and Forecast, by Country (2024-2032)</t>
  </si>
  <si>
    <t>&lt;strong&gt;&lt;em&gt;5.4.1. United States&lt;/em&gt;&lt;/strong&gt;</t>
  </si>
  <si>
    <t>&lt;em&gt;5.4.1.1. United States ABC Market Size and Forecast, by Segment1 (2024-2032)&lt;/em&gt;</t>
  </si>
  <si>
    <t>&lt;em&gt;5.4.1.1.1. AA1&lt;/em&gt;</t>
  </si>
  <si>
    <t>&lt;em&gt;5.4.1.1.2. AA2&lt;/em&gt;</t>
  </si>
  <si>
    <t>&lt;em&gt;5.4.1.1.3. AA3&lt;/em&gt;</t>
  </si>
  <si>
    <t>&lt;em&gt;5.4.1.1.4. AA4&lt;/em&gt;</t>
  </si>
  <si>
    <t>&lt;em&gt;5.4.1.1.5. AA5&lt;/em&gt;</t>
  </si>
  <si>
    <t>&lt;em&gt;5.4.1.1.6. AA6&lt;/em&gt;</t>
  </si>
  <si>
    <t>&lt;em&gt;5.4.1.1.7. AA7&lt;/em&gt;</t>
  </si>
  <si>
    <t>&lt;em&gt;5.4.1.1.8. AA8&lt;/em&gt;</t>
  </si>
  <si>
    <t>&lt;em&gt;5.4.1.1.9. AA9&lt;/em&gt;</t>
  </si>
  <si>
    <t>&lt;em&gt;5.4.1.1.10. AA10&lt;/em&gt;</t>
  </si>
  <si>
    <t>&lt;em&gt;5.4.1.1.11. AA11&lt;/em&gt;</t>
  </si>
  <si>
    <t>&lt;em&gt;5.4.1.1.12. AA12&lt;/em&gt;</t>
  </si>
  <si>
    <t>&lt;em&gt;5.4.1.1.13. AA13&lt;/em&gt;</t>
  </si>
  <si>
    <t>&lt;em&gt;5.4.1.1.14. AA14&lt;/em&gt;</t>
  </si>
  <si>
    <t>&lt;em&gt;5.4.1.1.15. AA15&lt;/em&gt;</t>
  </si>
  <si>
    <t>&lt;em&gt;5.4.1.2. United States ABC Market Size and Forecast, by Segment2 (2024-2032)&lt;/em&gt;</t>
  </si>
  <si>
    <t>&lt;em&gt;5.4.1.2.1. BB1&lt;/em&gt;</t>
  </si>
  <si>
    <t>&lt;em&gt;5.4.1.2.2. BB2&lt;/em&gt;</t>
  </si>
  <si>
    <t>&lt;em&gt;5.4.1.2.3. BB3&lt;/em&gt;</t>
  </si>
  <si>
    <t>&lt;em&gt;5.4.1.2.4. BB4&lt;/em&gt;</t>
  </si>
  <si>
    <t>&lt;em&gt;5.4.1.2.5. BB5&lt;/em&gt;</t>
  </si>
  <si>
    <t>&lt;em&gt;5.4.1.2.6. BB6&lt;/em&gt;</t>
  </si>
  <si>
    <t>&lt;em&gt;5.4.1.2.7. BB7&lt;/em&gt;</t>
  </si>
  <si>
    <t>&lt;em&gt;5.4.1.2.8. BB8&lt;/em&gt;</t>
  </si>
  <si>
    <t>&lt;em&gt;5.4.1.2.9. BB9&lt;/em&gt;</t>
  </si>
  <si>
    <t>&lt;em&gt;5.4.1.2.10. BB10&lt;/em&gt;</t>
  </si>
  <si>
    <t>&lt;em&gt;5.4.1.2.11. BB11&lt;/em&gt;</t>
  </si>
  <si>
    <t>&lt;em&gt;5.4.1.2.12. BB12&lt;/em&gt;</t>
  </si>
  <si>
    <t>&lt;em&gt;5.4.1.2.13. BB13&lt;/em&gt;</t>
  </si>
  <si>
    <t>&lt;em&gt;5.4.1.2.14. BB14&lt;/em&gt;</t>
  </si>
  <si>
    <t>&lt;em&gt;5.4.1.2.15. BB15&lt;/em&gt;</t>
  </si>
  <si>
    <t>&lt;em&gt;5.4.1.3. United States ABC Market Size and Forecast, by Segment3 (2024-2032)&lt;/em&gt;</t>
  </si>
  <si>
    <t>&lt;em&gt;5.4.1.3.1. CC1&lt;/em&gt;</t>
  </si>
  <si>
    <t>&lt;em&gt;5.4.1.3.2. CC2&lt;/em&gt;</t>
  </si>
  <si>
    <t>&lt;em&gt;5.4.1.3.3. CC3&lt;/em&gt;</t>
  </si>
  <si>
    <t>&lt;em&gt;5.4.1.3.4. CC4&lt;/em&gt;</t>
  </si>
  <si>
    <t>&lt;em&gt;5.4.1.3.5. CC5&lt;/em&gt;</t>
  </si>
  <si>
    <t>&lt;em&gt;5.4.1.3.6. CC6&lt;/em&gt;</t>
  </si>
  <si>
    <t>&lt;em&gt;5.4.1.3.7. CC7&lt;/em&gt;</t>
  </si>
  <si>
    <t>&lt;em&gt;5.4.1.3.8. CC8&lt;/em&gt;</t>
  </si>
  <si>
    <t>&lt;em&gt;5.4.1.3.9. CC9&lt;/em&gt;</t>
  </si>
  <si>
    <t>&lt;em&gt;5.4.1.3.10. CC10&lt;/em&gt;</t>
  </si>
  <si>
    <t>&lt;em&gt;5.4.1.3.11. CC11&lt;/em&gt;</t>
  </si>
  <si>
    <t>&lt;em&gt;5.4.1.3.12. CC12&lt;/em&gt;</t>
  </si>
  <si>
    <t>&lt;em&gt;5.4.1.3.13. CC13&lt;/em&gt;</t>
  </si>
  <si>
    <t>&lt;em&gt;5.4.1.3.14. CC14&lt;/em&gt;</t>
  </si>
  <si>
    <t>&lt;em&gt;5.4.1.3.15. CC15&lt;/em&gt;</t>
  </si>
  <si>
    <t>&lt;strong&gt;&lt;em&gt;5.4.2. Canada&lt;/em&gt;&lt;/strong&gt;</t>
  </si>
  <si>
    <t>&lt;em&gt;5.4.2.1. Canada ABC Market Size and Forecast, by Segment1 (2024-2032)&lt;/em&gt;</t>
  </si>
  <si>
    <t>&lt;em&gt;5.4.2.1.1. AA1&lt;/em&gt;</t>
  </si>
  <si>
    <t>&lt;em&gt;5.4.2.1.2. AA2&lt;/em&gt;</t>
  </si>
  <si>
    <t>&lt;em&gt;5.4.2.1.3. AA3&lt;/em&gt;</t>
  </si>
  <si>
    <t>&lt;em&gt;5.4.2.1.4. AA4&lt;/em&gt;</t>
  </si>
  <si>
    <t>&lt;em&gt;5.4.2.1.5. AA5&lt;/em&gt;</t>
  </si>
  <si>
    <t>&lt;em&gt;5.4.2.1.6. AA6&lt;/em&gt;</t>
  </si>
  <si>
    <t>&lt;em&gt;5.4.2.1.7. AA7&lt;/em&gt;</t>
  </si>
  <si>
    <t>&lt;em&gt;5.4.2.1.8. AA8&lt;/em&gt;</t>
  </si>
  <si>
    <t>&lt;em&gt;5.4.2.1.9. AA9&lt;/em&gt;</t>
  </si>
  <si>
    <t>&lt;em&gt;5.4.2.1.10. AA10&lt;/em&gt;</t>
  </si>
  <si>
    <t>&lt;em&gt;5.4.2.1.11. AA11&lt;/em&gt;</t>
  </si>
  <si>
    <t>&lt;em&gt;5.4.2.1.12. AA12&lt;/em&gt;</t>
  </si>
  <si>
    <t>&lt;em&gt;5.4.2.1.13. AA13&lt;/em&gt;</t>
  </si>
  <si>
    <t>&lt;em&gt;5.4.2.1.14. AA14&lt;/em&gt;</t>
  </si>
  <si>
    <t>&lt;em&gt;5.4.2.1.15. AA15&lt;/em&gt;</t>
  </si>
  <si>
    <t>&lt;em&gt;5.4.2.2. Canada ABC Market Size and Forecast, by Segment2 (2024-2032)&lt;/em&gt;</t>
  </si>
  <si>
    <t>&lt;em&gt;5.4.2.2.1. BB1&lt;/em&gt;</t>
  </si>
  <si>
    <t>&lt;em&gt;5.4.2.2.2. BB2&lt;/em&gt;</t>
  </si>
  <si>
    <t>&lt;em&gt;5.4.2.2.3. BB3&lt;/em&gt;</t>
  </si>
  <si>
    <t>&lt;em&gt;5.4.2.2.4. BB4&lt;/em&gt;</t>
  </si>
  <si>
    <t>&lt;em&gt;5.4.2.2.5. BB5&lt;/em&gt;</t>
  </si>
  <si>
    <t>&lt;em&gt;5.4.2.2.6. BB6&lt;/em&gt;</t>
  </si>
  <si>
    <t>&lt;em&gt;5.4.2.2.7. BB7&lt;/em&gt;</t>
  </si>
  <si>
    <t>&lt;em&gt;5.4.2.2.8. BB8&lt;/em&gt;</t>
  </si>
  <si>
    <t>&lt;em&gt;5.4.2.2.9. BB9&lt;/em&gt;</t>
  </si>
  <si>
    <t>&lt;em&gt;5.4.2.2.10. BB10&lt;/em&gt;</t>
  </si>
  <si>
    <t>&lt;em&gt;5.4.2.2.11. BB11&lt;/em&gt;</t>
  </si>
  <si>
    <t>&lt;em&gt;5.4.2.2.12. BB12&lt;/em&gt;</t>
  </si>
  <si>
    <t>&lt;em&gt;5.4.2.2.13. BB13&lt;/em&gt;</t>
  </si>
  <si>
    <t>&lt;em&gt;5.4.2.2.14. BB14&lt;/em&gt;</t>
  </si>
  <si>
    <t>&lt;em&gt;5.4.2.2.15. BB15&lt;/em&gt;</t>
  </si>
  <si>
    <t>&lt;em&gt;5.4.2.3. Canada ABC Market Size and Forecast, by Segment3 (2024-2032)&lt;/em&gt;</t>
  </si>
  <si>
    <t>&lt;em&gt;5.4.2.3.1. CC1&lt;/em&gt;</t>
  </si>
  <si>
    <t>&lt;em&gt;5.4.2.3.2. CC2&lt;/em&gt;</t>
  </si>
  <si>
    <t>&lt;em&gt;5.4.2.3.3. CC3&lt;/em&gt;</t>
  </si>
  <si>
    <t>&lt;em&gt;5.4.2.3.4. CC4&lt;/em&gt;</t>
  </si>
  <si>
    <t>&lt;em&gt;5.4.2.3.5. CC5&lt;/em&gt;</t>
  </si>
  <si>
    <t>&lt;em&gt;5.4.2.3.6. CC6&lt;/em&gt;</t>
  </si>
  <si>
    <t>&lt;em&gt;5.4.2.3.7. CC7&lt;/em&gt;</t>
  </si>
  <si>
    <t>&lt;em&gt;5.4.2.3.8. CC8&lt;/em&gt;</t>
  </si>
  <si>
    <t>&lt;em&gt;5.4.2.3.9. CC9&lt;/em&gt;</t>
  </si>
  <si>
    <t>&lt;em&gt;5.4.2.3.10. CC10&lt;/em&gt;</t>
  </si>
  <si>
    <t>&lt;em&gt;5.4.2.3.11. CC11&lt;/em&gt;</t>
  </si>
  <si>
    <t>&lt;em&gt;5.4.2.3.12. CC12&lt;/em&gt;</t>
  </si>
  <si>
    <t>&lt;em&gt;5.4.2.3.13. CC13&lt;/em&gt;</t>
  </si>
  <si>
    <t>&lt;em&gt;5.4.2.3.14. CC14&lt;/em&gt;</t>
  </si>
  <si>
    <t>&lt;em&gt;5.4.2.3.15. CC15&lt;/em&gt;</t>
  </si>
  <si>
    <t>&lt;strong&gt;&lt;em&gt;5.4.3. Mexico&lt;/em&gt;&lt;/strong&gt;</t>
  </si>
  <si>
    <t>&lt;em&gt;5.4.3.1. Mexico ABC Market Size and Forecast, by Segment1 (2024-2032)&lt;/em&gt;</t>
  </si>
  <si>
    <t>&lt;em&gt;5.4.3.1.1. AA1&lt;/em&gt;</t>
  </si>
  <si>
    <t>&lt;em&gt;5.4.3.1.2. AA2&lt;/em&gt;</t>
  </si>
  <si>
    <t>&lt;em&gt;5.4.3.1.3. AA3&lt;/em&gt;</t>
  </si>
  <si>
    <t>&lt;em&gt;5.4.3.1.4. AA4&lt;/em&gt;</t>
  </si>
  <si>
    <t>&lt;em&gt;5.4.3.1.5. AA5&lt;/em&gt;</t>
  </si>
  <si>
    <t>&lt;em&gt;5.4.3.1.6. AA6&lt;/em&gt;</t>
  </si>
  <si>
    <t>&lt;em&gt;5.4.3.1.7. AA7&lt;/em&gt;</t>
  </si>
  <si>
    <t>&lt;em&gt;5.4.3.1.8. AA8&lt;/em&gt;</t>
  </si>
  <si>
    <t>&lt;em&gt;5.4.3.1.9. AA9&lt;/em&gt;</t>
  </si>
  <si>
    <t>&lt;em&gt;5.4.3.1.10. AA10&lt;/em&gt;</t>
  </si>
  <si>
    <t>&lt;em&gt;5.4.3.1.11. AA11&lt;/em&gt;</t>
  </si>
  <si>
    <t>&lt;em&gt;5.4.3.1.12. AA12&lt;/em&gt;</t>
  </si>
  <si>
    <t>&lt;em&gt;5.4.3.1.13. AA13&lt;/em&gt;</t>
  </si>
  <si>
    <t>&lt;em&gt;5.4.3.1.14. AA14&lt;/em&gt;</t>
  </si>
  <si>
    <t>&lt;em&gt;5.4.3.1.15. AA15&lt;/em&gt;</t>
  </si>
  <si>
    <t>&lt;em&gt;5.4.3.2. Mexico ABC Market Size and Forecast, by Segment2 (2024-2032)&lt;/em&gt;</t>
  </si>
  <si>
    <t>&lt;em&gt;5.4.3.2.1. BB1&lt;/em&gt;</t>
  </si>
  <si>
    <t>&lt;em&gt;5.4.3.2.2. BB2&lt;/em&gt;</t>
  </si>
  <si>
    <t>&lt;em&gt;5.4.3.2.3. BB3&lt;/em&gt;</t>
  </si>
  <si>
    <t>&lt;em&gt;5.4.3.2.4. BB4&lt;/em&gt;</t>
  </si>
  <si>
    <t>&lt;em&gt;5.4.3.2.5. BB5&lt;/em&gt;</t>
  </si>
  <si>
    <t>&lt;em&gt;5.4.3.2.6. BB6&lt;/em&gt;</t>
  </si>
  <si>
    <t>&lt;em&gt;5.4.3.2.7. BB7&lt;/em&gt;</t>
  </si>
  <si>
    <t>&lt;em&gt;5.4.3.2.8. BB8&lt;/em&gt;</t>
  </si>
  <si>
    <t>&lt;em&gt;5.4.3.2.9. BB9&lt;/em&gt;</t>
  </si>
  <si>
    <t>&lt;em&gt;5.4.3.2.10. BB10&lt;/em&gt;</t>
  </si>
  <si>
    <t>&lt;em&gt;5.4.3.2.11. BB11&lt;/em&gt;</t>
  </si>
  <si>
    <t>&lt;em&gt;5.4.3.2.12. BB12&lt;/em&gt;</t>
  </si>
  <si>
    <t>&lt;em&gt;5.4.3.2.13. BB13&lt;/em&gt;</t>
  </si>
  <si>
    <t>&lt;em&gt;5.4.3.2.14. BB14&lt;/em&gt;</t>
  </si>
  <si>
    <t>&lt;em&gt;5.4.3.2.15. BB15&lt;/em&gt;</t>
  </si>
  <si>
    <t>&lt;em&gt;5.4.3.3. Mexico ABC Market Size and Forecast, by Segment3 (2024-2032)&lt;/em&gt;</t>
  </si>
  <si>
    <t>&lt;em&gt;5.4.3.3.1. CC1&lt;/em&gt;</t>
  </si>
  <si>
    <t>&lt;em&gt;5.4.3.3.2. CC2&lt;/em&gt;</t>
  </si>
  <si>
    <t>&lt;em&gt;5.4.3.3.3. CC3&lt;/em&gt;</t>
  </si>
  <si>
    <t>&lt;em&gt;5.4.3.3.4. CC4&lt;/em&gt;</t>
  </si>
  <si>
    <t>&lt;em&gt;5.4.3.3.5. CC5&lt;/em&gt;</t>
  </si>
  <si>
    <t>&lt;em&gt;5.4.3.3.6. CC6&lt;/em&gt;</t>
  </si>
  <si>
    <t>&lt;em&gt;5.4.3.3.7. CC7&lt;/em&gt;</t>
  </si>
  <si>
    <t>&lt;em&gt;5.4.3.3.8. CC8&lt;/em&gt;</t>
  </si>
  <si>
    <t>&lt;em&gt;5.4.3.3.9. CC9&lt;/em&gt;</t>
  </si>
  <si>
    <t>&lt;em&gt;5.4.3.3.10. CC10&lt;/em&gt;</t>
  </si>
  <si>
    <t>&lt;em&gt;5.4.3.3.11. CC11&lt;/em&gt;</t>
  </si>
  <si>
    <t>&lt;em&gt;5.4.3.3.12. CC12&lt;/em&gt;</t>
  </si>
  <si>
    <t>&lt;em&gt;5.4.3.3.13. CC13&lt;/em&gt;</t>
  </si>
  <si>
    <t>&lt;em&gt;5.4.3.3.14. CC14&lt;/em&gt;</t>
  </si>
  <si>
    <t>&lt;em&gt;5.4.3.3.15. CC15&lt;/em&gt;</t>
  </si>
  <si>
    <t>6.4. Europe ABC Market Size and Forecast, by Country (2024-2032)</t>
  </si>
  <si>
    <t>&lt;strong&gt;&lt;em&gt;6.4.1. United Kingdom&lt;/em&gt;&lt;/strong&gt;</t>
  </si>
  <si>
    <t>&lt;em&gt;6.4.1.1. United Kingdom ABC Market Size and Forecast, by Segment1 (2024-2032)&lt;/em&gt;</t>
  </si>
  <si>
    <t>&lt;em&gt;6.4.1.2. United Kingdom ABC Market Size and Forecast, by Segment2 (2024-2032)&lt;/em&gt;</t>
  </si>
  <si>
    <t>&lt;em&gt;6.4.1.3. United Kingdom ABC Market Size and Forecast, by Segment3 (2024-2032)&lt;/em&gt;</t>
  </si>
  <si>
    <t>&lt;strong&gt;&lt;em&gt;6.4.2. France&lt;/em&gt;&lt;/strong&gt;</t>
  </si>
  <si>
    <t>&lt;em&gt;6.4.2.1. France ABC Market Size and Forecast, by Segment1 (2024-2032)&lt;/em&gt;</t>
  </si>
  <si>
    <t>&lt;em&gt;6.4.2.2. France ABC Market Size and Forecast, by Segment2 (2024-2032)&lt;/em&gt;</t>
  </si>
  <si>
    <t>&lt;em&gt;6.4.2.3. France ABC Market Size and Forecast, by Segment3 (2024-2032)&lt;/em&gt;</t>
  </si>
  <si>
    <t>&lt;strong&gt;&lt;em&gt;6.4.3. Germany&lt;/em&gt;&lt;/strong&gt;</t>
  </si>
  <si>
    <t>&lt;em&gt;6.4.3.1. Germany ABC Market Size and Forecast, by Segment1 (2024-2032)&lt;/em&gt;</t>
  </si>
  <si>
    <t>&lt;em&gt;6.4.3.2. Germany ABC Market Size and Forecast, by Segment2 (2024-2032)&lt;/em&gt;</t>
  </si>
  <si>
    <t>&lt;em&gt;6.4.3.3. Germany ABC Market Size and Forecast, by Segment3 (2024-2032)&lt;/em&gt;</t>
  </si>
  <si>
    <t>&lt;strong&gt;&lt;em&gt;6.4.4. Italy&lt;/em&gt;&lt;/strong&gt;</t>
  </si>
  <si>
    <t>&lt;em&gt;6.4.4.1. Italy ABC Market Size and Forecast, by Segment1 (2024-2032)&lt;/em&gt;</t>
  </si>
  <si>
    <t>&lt;em&gt;6.4.4.2. Italy ABC Market Size and Forecast, by Segment2 (2024-2032)&lt;/em&gt;</t>
  </si>
  <si>
    <t>&lt;em&gt;6.4.4.3. Italy ABC Market Size and Forecast, by Segment3 (2024-2032)&lt;/em&gt;</t>
  </si>
  <si>
    <t>&lt;strong&gt;&lt;em&gt;6.4.5. Spain&lt;/em&gt;&lt;/strong&gt;</t>
  </si>
  <si>
    <t>&lt;em&gt;6.4.5.1. Spain ABC Market Size and Forecast, by Segment1 (2024-2032)&lt;/em&gt;</t>
  </si>
  <si>
    <t>&lt;em&gt;6.4.5.2. Spain ABC Market Size and Forecast, by Segment2 (2024-2032)&lt;/em&gt;</t>
  </si>
  <si>
    <t>&lt;em&gt;6.4.5.3. Spain ABC Market Size and Forecast, by Segment3 (2024-2032)&lt;/em&gt;</t>
  </si>
  <si>
    <t>&lt;strong&gt;&lt;em&gt;6.4.6. Sweden&lt;/em&gt;&lt;/strong&gt;</t>
  </si>
  <si>
    <t>&lt;em&gt;6.4.6.1. Sweden ABC Market Size and Forecast, by Segment1 (2024-2032)&lt;/em&gt;</t>
  </si>
  <si>
    <t>&lt;em&gt;6.4.6.2. Sweden ABC Market Size and Forecast, by Segment2 (2024-2032)&lt;/em&gt;</t>
  </si>
  <si>
    <t>&lt;em&gt;6.4.6.3. Sweden ABC Market Size and Forecast, by Segment3 (2024-2032)&lt;/em&gt;</t>
  </si>
  <si>
    <t>&lt;strong&gt;&lt;em&gt;6.4.7. Austria&lt;/em&gt;&lt;/strong&gt;</t>
  </si>
  <si>
    <t>&lt;em&gt;6.4.7.1. Austria ABC Market Size and Forecast, by Segment1 (2024-2032)&lt;/em&gt;</t>
  </si>
  <si>
    <t>&lt;em&gt;6.4.7.2. Austria ABC Market Size and Forecast, by Segment2 (2024-2032)&lt;/em&gt;</t>
  </si>
  <si>
    <t>&lt;em&gt;6.4.7.3. Austria ABC Market Size and Forecast, by Segment3 (2024-2032)&lt;/em&gt;</t>
  </si>
  <si>
    <t>&lt;strong&gt;&lt;em&gt;6.4.8. Rest of Europe&lt;/em&gt;&lt;/strong&gt;</t>
  </si>
  <si>
    <t>&lt;em&gt;6.4.8.1. Rest of Europe ABC Market Size and Forecast, by Segment1 (2024-2032)&lt;/em&gt;</t>
  </si>
  <si>
    <t>&lt;em&gt;6.4.8.2. Rest of Europe ABC Market Size and Forecast, by Segment2 (2024-2032)&lt;/em&gt;</t>
  </si>
  <si>
    <t>&lt;em&gt;6.4.8.3. Rest of Europe ABC Market Size and Forecast, by Segment3 (2024-2032)&lt;/em&gt;</t>
  </si>
  <si>
    <t>7.4. Asia Pacific ABC Market Size and Forecast, by Country (2024-2032)</t>
  </si>
  <si>
    <t>&lt;strong&gt;&lt;em&gt;7.4.1. China&lt;/em&gt;&lt;/strong&gt;</t>
  </si>
  <si>
    <t>&lt;em&gt;7.4.1.1. China ABC Market Size and Forecast, by Segment1 (2024-2032)&lt;/em&gt;</t>
  </si>
  <si>
    <t>&lt;em&gt;7.4.1.2. China ABC Market Size and Forecast, by Segment2 (2024-2032)&lt;/em&gt;</t>
  </si>
  <si>
    <t>&lt;em&gt;7.4.1.3. China ABC Market Size and Forecast, by Segment3 (2024-2032)&lt;/em&gt;</t>
  </si>
  <si>
    <t>&lt;strong&gt;&lt;em&gt;7.4.2. S Korea&lt;/em&gt;&lt;/strong&gt;</t>
  </si>
  <si>
    <t>&lt;em&gt;7.4.2.1. S Korea ABC Market Size and Forecast, by Segment1 (2024-2032)&lt;/em&gt;</t>
  </si>
  <si>
    <t>&lt;em&gt;7.4.2.2. S Korea ABC Market Size and Forecast, by Segment2 (2024-2032)&lt;/em&gt;</t>
  </si>
  <si>
    <t>&lt;em&gt;7.4.2.3. S Korea ABC Market Size and Forecast, by Segment3 (2024-2032)&lt;/em&gt;</t>
  </si>
  <si>
    <t>&lt;strong&gt;&lt;em&gt;7.4.3. Japan&lt;/em&gt;&lt;/strong&gt;</t>
  </si>
  <si>
    <t>&lt;em&gt;7.4.3.1. Japan ABC Market Size and Forecast, by Segment1 (2024-2032)&lt;/em&gt;</t>
  </si>
  <si>
    <t>&lt;em&gt;7.4.3.2. Japan ABC Market Size and Forecast, by Segment2 (2024-2032)&lt;/em&gt;</t>
  </si>
  <si>
    <t>&lt;em&gt;7.4.3.3. Japan ABC Market Size and Forecast, by Segment3 (2024-2032)&lt;/em&gt;</t>
  </si>
  <si>
    <t>&lt;strong&gt;&lt;em&gt;7.4.4. India&lt;/em&gt;&lt;/strong&gt;</t>
  </si>
  <si>
    <t>&lt;em&gt;7.4.4.1. India ABC Market Size and Forecast, by Segment1 (2024-2032)&lt;/em&gt;</t>
  </si>
  <si>
    <t>&lt;em&gt;7.4.4.2. India ABC Market Size and Forecast, by Segment2 (2024-2032)&lt;/em&gt;</t>
  </si>
  <si>
    <t>&lt;em&gt;7.4.4.3. India ABC Market Size and Forecast, by Segment3 (2024-2032)&lt;/em&gt;</t>
  </si>
  <si>
    <t>&lt;strong&gt;&lt;em&gt;7.4.5. Australia&lt;/em&gt;&lt;/strong&gt;</t>
  </si>
  <si>
    <t>&lt;em&gt;7.4.5.1. Australia ABC Market Size and Forecast, by Segment1 (2024-2032)&lt;/em&gt;</t>
  </si>
  <si>
    <t>&lt;em&gt;7.4.5.2. Australia ABC Market Size and Forecast, by Segment2 (2024-2032)&lt;/em&gt;</t>
  </si>
  <si>
    <t>&lt;em&gt;7.4.5.3. Australia ABC Market Size and Forecast, by Segment3 (2024-2032)&lt;/em&gt;</t>
  </si>
  <si>
    <t>&lt;strong&gt;&lt;em&gt;7.4.6. Indonesia&lt;/em&gt;&lt;/strong&gt;</t>
  </si>
  <si>
    <t>&lt;em&gt;7.4.6.1. Indonesia ABC Market Size and Forecast, by Segment1 (2024-2032)&lt;/em&gt;</t>
  </si>
  <si>
    <t>&lt;em&gt;7.4.6.2. Indonesia ABC Market Size and Forecast, by Segment2 (2024-2032)&lt;/em&gt;</t>
  </si>
  <si>
    <t>&lt;em&gt;7.4.6.3. Indonesia ABC Market Size and Forecast, by Segment3 (2024-2032)&lt;/em&gt;</t>
  </si>
  <si>
    <t>&lt;strong&gt;&lt;em&gt;7.4.7. Malaysia&lt;/em&gt;&lt;/strong&gt;</t>
  </si>
  <si>
    <t>&lt;em&gt;7.4.7.1. Malaysia ABC Market Size and Forecast, by Segment1 (2024-2032)&lt;/em&gt;</t>
  </si>
  <si>
    <t>&lt;em&gt;7.4.7.2. Malaysia ABC Market Size and Forecast, by Segment2 (2024-2032)&lt;/em&gt;</t>
  </si>
  <si>
    <t>&lt;em&gt;7.4.7.3. Malaysia ABC Market Size and Forecast, by Segment3 (2024-2032)&lt;/em&gt;</t>
  </si>
  <si>
    <t>&lt;strong&gt;&lt;em&gt;7.4.8. Vietnam&lt;/em&gt;&lt;/strong&gt;</t>
  </si>
  <si>
    <t>&lt;em&gt;7.4.8.1. Vietnam ABC Market Size and Forecast, by Segment1 (2024-2032)&lt;/em&gt;</t>
  </si>
  <si>
    <t>&lt;em&gt;7.4.8.2. Vietnam ABC Market Size and Forecast, by Segment2 (2024-2032)&lt;/em&gt;</t>
  </si>
  <si>
    <t>&lt;em&gt;7.4.8.3. Vietnam ABC Market Size and Forecast, by Segment3 (2024-2032)&lt;/em&gt;</t>
  </si>
  <si>
    <t>&lt;strong&gt;&lt;em&gt;7.4.9. Taiwan&lt;/em&gt;&lt;/strong&gt;</t>
  </si>
  <si>
    <t>&lt;em&gt;7.4.9.1. Taiwan ABC Market Size and Forecast, by Segment1 (2024-2032)&lt;/em&gt;</t>
  </si>
  <si>
    <t>&lt;em&gt;7.4.9.2. Taiwan ABC Market Size and Forecast, by Segment2 (2024-2032)&lt;/em&gt;</t>
  </si>
  <si>
    <t>&lt;em&gt;7.4.9.3. Taiwan ABC Market Size and Forecast, by Segment3 (2024-2032)&lt;/em&gt;</t>
  </si>
  <si>
    <t>&lt;strong&gt;&lt;em&gt;7.4.10. Rest of Asia Pacific&lt;/em&gt;&lt;/strong&gt;</t>
  </si>
  <si>
    <t>&lt;em&gt;7.4.10.1. Rest of Asia Pacific ABC Market Size and Forecast, by Segment1 (2024-2032)&lt;/em&gt;</t>
  </si>
  <si>
    <t>&lt;em&gt;7.4.10.2. Rest of Asia Pacific ABC Market Size and Forecast, by Segment2 (2024-2032)&lt;/em&gt;</t>
  </si>
  <si>
    <t>&lt;em&gt;7.4.10.3. Rest of Asia Pacific ABC Market Size and Forecast, by Segment3 (2024-2032)&lt;/em&gt;</t>
  </si>
  <si>
    <t>8.4. Middle East and Africa ABC Market Size and Forecast, by Country (2024-2032)</t>
  </si>
  <si>
    <t>&lt;strong&gt;&lt;em&gt;8.4.1. South Africa&lt;/em&gt;&lt;/strong&gt;</t>
  </si>
  <si>
    <t>&lt;em&gt;8.4.1.1. South Africa ABC Market Size and Forecast, by Segment1 (2024-2032)&lt;/em&gt;</t>
  </si>
  <si>
    <t>&lt;em&gt;8.4.1.2. South Africa ABC Market Size and Forecast, by Segment2 (2024-2032)&lt;/em&gt;</t>
  </si>
  <si>
    <t>&lt;em&gt;8.4.1.3. South Africa ABC Market Size and Forecast, by Segment3 (2024-2032)&lt;/em&gt;</t>
  </si>
  <si>
    <t>&lt;strong&gt;&lt;em&gt;8.4.2. GCC&lt;/em&gt;&lt;/strong&gt;</t>
  </si>
  <si>
    <t>&lt;em&gt;8.4.2.1. GCC ABC Market Size and Forecast, by Segment1 (2024-2032)&lt;/em&gt;</t>
  </si>
  <si>
    <t>&lt;em&gt;8.4.2.2. GCC ABC Market Size and Forecast, by Segment2 (2024-2032)&lt;/em&gt;</t>
  </si>
  <si>
    <t>&lt;em&gt;8.4.2.3. GCC ABC Market Size and Forecast, by Segment3 (2024-2032)&lt;/em&gt;</t>
  </si>
  <si>
    <t>&lt;strong&gt;&lt;em&gt;8.4.3. Nigeria&lt;/em&gt;&lt;/strong&gt;</t>
  </si>
  <si>
    <t>&lt;em&gt;8.4.3.1. Nigeria ABC Market Size and Forecast, by Segment1 (2024-2032)&lt;/em&gt;</t>
  </si>
  <si>
    <t>&lt;em&gt;8.4.3.2. Nigeria ABC Market Size and Forecast, by Segment2 (2024-2032)&lt;/em&gt;</t>
  </si>
  <si>
    <t>&lt;em&gt;8.4.3.3. Nigeria ABC Market Size and Forecast, by Segment3 (2024-2032)&lt;/em&gt;</t>
  </si>
  <si>
    <t>&lt;strong&gt;&lt;em&gt;8.4.4. Rest of ME&amp;amp;A&lt;/em&gt;&lt;/strong&gt;</t>
  </si>
  <si>
    <t>&lt;em&gt;8.4.4.1. Rest of ME&amp;amp;A ABC Market Size and Forecast, by Segment1 (2024-2032)&lt;/em&gt;</t>
  </si>
  <si>
    <t>&lt;em&gt;8.4.4.2. Rest of ME&amp;amp;A ABC Market Size and Forecast, by Segment2 (2024-2032)&lt;/em&gt;</t>
  </si>
  <si>
    <t>&lt;em&gt;8.4.4.3. Rest of ME&amp;amp;A ABC Market Size and Forecast, by Segment3 (2024-2032)&lt;/em&gt;</t>
  </si>
  <si>
    <t>9.4. South America ABC Market Size and Forecast, by Country (2024-2032)</t>
  </si>
  <si>
    <t>&lt;strong&gt;&lt;em&gt;9.4.1. Brazil&lt;/em&gt;&lt;/strong&gt;</t>
  </si>
  <si>
    <t>&lt;em&gt;9.4.1.1. Brazil ABC Market Size and Forecast, by Segment1 (2024-2032)&lt;/em&gt;</t>
  </si>
  <si>
    <t>&lt;em&gt;9.4.1.2. Brazil ABC Market Size and Forecast, by Segment2 (2024-2032)&lt;/em&gt;</t>
  </si>
  <si>
    <t>&lt;em&gt;9.4.1.3. Brazil ABC Market Size and Forecast, by Segment3 (2024-2032)&lt;/em&gt;</t>
  </si>
  <si>
    <t>&lt;strong&gt;&lt;em&gt;9.4.2. Argentina&lt;/em&gt;&lt;/strong&gt;</t>
  </si>
  <si>
    <t>&lt;em&gt;9.4.2.1. Argentina ABC Market Size and Forecast, by Segment1 (2024-2032)&lt;/em&gt;</t>
  </si>
  <si>
    <t>&lt;em&gt;9.4.2.2. Argentina ABC Market Size and Forecast, by Segment2 (2024-2032)&lt;/em&gt;</t>
  </si>
  <si>
    <t>&lt;em&gt;9.4.2.3. Argentina ABC Market Size and Forecast, by Segment3 (2024-2032)&lt;/em&gt;</t>
  </si>
  <si>
    <t>&lt;strong&gt;&lt;em&gt;9.4.3. Rest Of South America&lt;/em&gt;&lt;/strong&gt;</t>
  </si>
  <si>
    <t>&lt;em&gt;9.4.3.1. Rest Of South America ABC Market Size and Forecast, by Segment1 (2024-2032)&lt;/em&gt;</t>
  </si>
  <si>
    <t>&lt;em&gt;9.4.3.2. Rest Of South America ABC Market Size and Forecast, by Segment2 (2024-2032)&lt;/em&gt;</t>
  </si>
  <si>
    <t>&lt;em&gt;9.4.3.3. Rest Of South America ABC Market Size and Forecast, by Segment3 (2024-2032)&lt;/em&gt;</t>
  </si>
  <si>
    <t>9.3. South America ABC Market Size and Forecast, by Country (2024-2032)</t>
  </si>
  <si>
    <t>&lt;em&gt;9.3.1.1. Brazil ABC Market Size and Forecast, by Segment1 (2024-2032)&lt;/em&gt;</t>
  </si>
  <si>
    <t>&lt;em&gt;9.3.1.2. Brazil ABC Market Size and Forecast, by Segment2 (2024-2032)&lt;/em&gt;</t>
  </si>
  <si>
    <t>&lt;em&gt;9.3.2.1. Argentina ABC Market Size and Forecast, by Segment1 (2024-2032)&lt;/em&gt;</t>
  </si>
  <si>
    <t>&lt;em&gt;9.3.2.2. Argentina ABC Market Size and Forecast, by Segment2 (2024-2032)&lt;/em&gt;</t>
  </si>
  <si>
    <t>&lt;em&gt;9.3.3.1. Rest Of South America ABC Market Size and Forecast, by Segment1 (2024-2032)&lt;/em&gt;</t>
  </si>
  <si>
    <t>&lt;em&gt;9.3.3.2. Rest Of South America ABC Market Size and Forecast, by Segment2 (2024-2032)&lt;/em&gt;</t>
  </si>
  <si>
    <t>8.3. Middle East and Africa ABC Market Size and Forecast, by Country (2024-2032)</t>
  </si>
  <si>
    <t>&lt;em&gt;8.3.1.1. South Africa ABC Market Size and Forecast, by Segment1 (2024-2032)&lt;/em&gt;</t>
  </si>
  <si>
    <t>&lt;em&gt;8.3.1.2. South Africa ABC Market Size and Forecast, by Segment2 (2024-2032)&lt;/em&gt;</t>
  </si>
  <si>
    <t>&lt;em&gt;8.3.2.1. GCC ABC Market Size and Forecast, by Segment1 (2024-2032)&lt;/em&gt;</t>
  </si>
  <si>
    <t>&lt;em&gt;8.3.2.2. GCC ABC Market Size and Forecast, by Segment2 (2024-2032)&lt;/em&gt;</t>
  </si>
  <si>
    <t>&lt;em&gt;8.3.3.1. Nigeria ABC Market Size and Forecast, by Segment1 (2024-2032)&lt;/em&gt;</t>
  </si>
  <si>
    <t>&lt;em&gt;8.3.3.2. Nigeria ABC Market Size and Forecast, by Segment2 (2024-2032)&lt;/em&gt;</t>
  </si>
  <si>
    <t>&lt;strong&gt;&lt;em&gt;8.3.4. Rest of ME&amp;amp;A&lt;/em&gt;&lt;/strong&gt;</t>
  </si>
  <si>
    <t>&lt;em&gt;8.3.4.1. Rest of ME&amp;amp;A ABC Market Size and Forecast, by Segment1 (2024-2032)&lt;/em&gt;</t>
  </si>
  <si>
    <t>&lt;em&gt;8.3.4.2. Rest of ME&amp;amp;A ABC Market Size and Forecast, by Segment2 (2024-2032)&lt;/em&gt;</t>
  </si>
  <si>
    <t>7.3. Asia Pacific ABC Market Size and Forecast, by Country (2024-2032)</t>
  </si>
  <si>
    <t>&lt;em&gt;7.3.1.1. China ABC Market Size and Forecast, by Segment1 (2024-2032)&lt;/em&gt;</t>
  </si>
  <si>
    <t>&lt;em&gt;7.3.1.2. China ABC Market Size and Forecast, by Segment2 (2024-2032)&lt;/em&gt;</t>
  </si>
  <si>
    <t>&lt;em&gt;7.3.2.1. S Korea ABC Market Size and Forecast, by Segment1 (2024-2032)&lt;/em&gt;</t>
  </si>
  <si>
    <t>&lt;em&gt;7.3.2.2. S Korea ABC Market Size and Forecast, by Segment2 (2024-2032)&lt;/em&gt;</t>
  </si>
  <si>
    <t>&lt;em&gt;7.3.3.1. Japan ABC Market Size and Forecast, by Segment1 (2024-2032)&lt;/em&gt;</t>
  </si>
  <si>
    <t>&lt;em&gt;7.3.3.2. Japan ABC Market Size and Forecast, by Segment2 (2024-2032)&lt;/em&gt;</t>
  </si>
  <si>
    <t>&lt;em&gt;7.3.4.1. India ABC Market Size and Forecast, by Segment1 (2024-2032)&lt;/em&gt;</t>
  </si>
  <si>
    <t>&lt;em&gt;7.3.4.2. India ABC Market Size and Forecast, by Segment2 (2024-2032)&lt;/em&gt;</t>
  </si>
  <si>
    <t>&lt;em&gt;7.3.5.1. Australia ABC Market Size and Forecast, by Segment1 (2024-2032)&lt;/em&gt;</t>
  </si>
  <si>
    <t>&lt;em&gt;7.3.5.2. Australia ABC Market Size and Forecast, by Segment2 (2024-2032)&lt;/em&gt;</t>
  </si>
  <si>
    <t>&lt;em&gt;7.3.6.1. Indonesia ABC Market Size and Forecast, by Segment1 (2024-2032)&lt;/em&gt;</t>
  </si>
  <si>
    <t>&lt;em&gt;7.3.6.2. Indonesia ABC Market Size and Forecast, by Segment2 (2024-2032)&lt;/em&gt;</t>
  </si>
  <si>
    <t>&lt;em&gt;7.3.7.1. Malaysia ABC Market Size and Forecast, by Segment1 (2024-2032)&lt;/em&gt;</t>
  </si>
  <si>
    <t>&lt;em&gt;7.3.7.2. Malaysia ABC Market Size and Forecast, by Segment2 (2024-2032)&lt;/em&gt;</t>
  </si>
  <si>
    <t>&lt;em&gt;7.3.8.1. Vietnam ABC Market Size and Forecast, by Segment1 (2024-2032)&lt;/em&gt;</t>
  </si>
  <si>
    <t>&lt;em&gt;7.3.8.2. Vietnam ABC Market Size and Forecast, by Segment2 (2024-2032)&lt;/em&gt;</t>
  </si>
  <si>
    <t>&lt;em&gt;7.3.9.1. Taiwan ABC Market Size and Forecast, by Segment1 (2024-2032)&lt;/em&gt;</t>
  </si>
  <si>
    <t>&lt;em&gt;7.3.9.2. Taiwan ABC Market Size and Forecast, by Segment2 (2024-2032)&lt;/em&gt;</t>
  </si>
  <si>
    <t>&lt;em&gt;7.3.10.1. Rest of Asia Pacific ABC Market Size and Forecast, by Segment1 (2024-2032)&lt;/em&gt;</t>
  </si>
  <si>
    <t>&lt;em&gt;7.3.10.2. Rest of Asia Pacific ABC Market Size and Forecast, by Segment2 (2024-2032)&lt;/em&gt;</t>
  </si>
  <si>
    <t>6.3. Europe ABC Market Size and Forecast, by Country (2024-2032)</t>
  </si>
  <si>
    <t>&lt;em&gt;6.3.1.1. United Kingdom ABC Market Size and Forecast, by Segment1 (2024-2032)&lt;/em&gt;</t>
  </si>
  <si>
    <t>&lt;em&gt;6.3.1.2. United Kingdom ABC Market Size and Forecast, by Segment2 (2024-2032)&lt;/em&gt;</t>
  </si>
  <si>
    <t>&lt;em&gt;6.3.2.1. France ABC Market Size and Forecast, by Segment1 (2024-2032)&lt;/em&gt;</t>
  </si>
  <si>
    <t>&lt;em&gt;6.3.2.2. France ABC Market Size and Forecast, by Segment2 (2024-2032)&lt;/em&gt;</t>
  </si>
  <si>
    <t>&lt;em&gt;6.3.3.1. Germany ABC Market Size and Forecast, by Segment1 (2024-2032)&lt;/em&gt;</t>
  </si>
  <si>
    <t>&lt;em&gt;6.3.3.2. Germany ABC Market Size and Forecast, by Segment2 (2024-2032)&lt;/em&gt;</t>
  </si>
  <si>
    <t>&lt;em&gt;6.3.4.1. Italy ABC Market Size and Forecast, by Segment1 (2024-2032)&lt;/em&gt;</t>
  </si>
  <si>
    <t>&lt;em&gt;6.3.4.2. Italy ABC Market Size and Forecast, by Segment2 (2024-2032)&lt;/em&gt;</t>
  </si>
  <si>
    <t>&lt;em&gt;6.3.5.1. Spain ABC Market Size and Forecast, by Segment1 (2024-2032)&lt;/em&gt;</t>
  </si>
  <si>
    <t>&lt;em&gt;6.3.5.2. Spain ABC Market Size and Forecast, by Segment2 (2024-2032)&lt;/em&gt;</t>
  </si>
  <si>
    <t>&lt;em&gt;6.3.6.1. Sweden ABC Market Size and Forecast, by Segment1 (2024-2032)&lt;/em&gt;</t>
  </si>
  <si>
    <t>&lt;em&gt;6.3.6.2. Sweden ABC Market Size and Forecast, by Segment2 (2024-2032)&lt;/em&gt;</t>
  </si>
  <si>
    <t>&lt;em&gt;6.3.7.1. Austria ABC Market Size and Forecast, by Segment1 (2024-2032)&lt;/em&gt;</t>
  </si>
  <si>
    <t>&lt;em&gt;6.3.7.2. Austria ABC Market Size and Forecast, by Segment2 (2024-2032)&lt;/em&gt;</t>
  </si>
  <si>
    <t>&lt;em&gt;6.3.8.1. Rest of Europe ABC Market Size and Forecast, by Segment1 (2024-2032)&lt;/em&gt;</t>
  </si>
  <si>
    <t>&lt;em&gt;6.3.8.2. Rest of Europe ABC Market Size and Forecast, by Segment2 (2024-2032)&lt;/em&gt;</t>
  </si>
  <si>
    <t>5.3. North America ABC Market Size and Forecast, by Country (2024-2032)</t>
  </si>
  <si>
    <t>&lt;em&gt;5.3.1.1. United States ABC Market Size and Forecast, by Segment1 (2024-2032)&lt;/em&gt;</t>
  </si>
  <si>
    <t>&lt;em&gt;5.3.1.2. United States ABC Market Size and Forecast, by Segment2 (2024-2032)&lt;/em&gt;</t>
  </si>
  <si>
    <t>&lt;em&gt;5.3.2.1. Canada ABC Market Size and Forecast, by Segment1 (2024-2032)&lt;/em&gt;</t>
  </si>
  <si>
    <t>&lt;em&gt;5.3.2.2. Canada ABC Market Size and Forecast, by Segment2 (2024-2032)&lt;/em&gt;</t>
  </si>
  <si>
    <t>&lt;em&gt;5.3.3.1. Mexico ABC Market Size and Forecast, by Segment1 (2024-2032)&lt;/em&gt;</t>
  </si>
  <si>
    <t>&lt;em&gt;5.3.3.2. Mexico ABC Market Size and Forecast, by Segment2 (2024-2032)&lt;/em&gt;</t>
  </si>
  <si>
    <t>4.3. ABC Market Size and Forecast, by Region (2024-2032)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</si>
</sst>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3" tint="0.5999938962981048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4" borderId="0" xfId="0" applyFont="1" applyFill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7"/>
  <sheetViews>
    <sheetView tabSelected="1" workbookViewId="0">
      <selection activeCell="I4" sqref="I4"/>
    </sheetView>
  </sheetViews>
  <sheetFormatPr defaultRowHeight="15" x14ac:dyDescent="0.25"/>
  <cols>
    <col min="1" max="1" width="11.140625" customWidth="1"/>
    <col min="2" max="2" width="17.7109375" customWidth="1"/>
    <col min="3" max="3" width="15.140625" customWidth="1"/>
    <col min="4" max="4" width="16.7109375" customWidth="1"/>
    <col min="5" max="5" width="12.85546875" customWidth="1"/>
    <col min="6" max="7" width="17.28515625" customWidth="1"/>
    <col min="8" max="8" width="14.140625" customWidth="1"/>
    <col min="9" max="9" width="15.5703125" customWidth="1"/>
  </cols>
  <sheetData>
    <row r="1" spans="1:11" x14ac:dyDescent="0.25">
      <c r="A1" s="1" t="s">
        <v>73</v>
      </c>
      <c r="B1" s="1" t="s">
        <v>74</v>
      </c>
      <c r="C1" s="1"/>
      <c r="D1" s="1"/>
      <c r="E1" s="1"/>
      <c r="F1" s="1"/>
      <c r="G1" s="1"/>
      <c r="H1" s="1" t="s">
        <v>79</v>
      </c>
      <c r="I1" s="1" t="s">
        <v>122</v>
      </c>
    </row>
    <row r="2" spans="1:11" x14ac:dyDescent="0.25">
      <c r="A2" s="2" t="s">
        <v>80</v>
      </c>
      <c r="B2" s="2" t="s">
        <v>81</v>
      </c>
      <c r="I2" s="2" t="s">
        <v>159</v>
      </c>
      <c r="J2" t="s">
        <v>0</v>
      </c>
      <c r="K2" t="str">
        <f>REPLACE(J2,FIND("ABC",J2,1),3,I2)</f>
        <v>&lt;strong&gt;1. ABC Market Introduction&lt;/strong&gt;</v>
      </c>
    </row>
    <row r="3" spans="1:11" x14ac:dyDescent="0.25">
      <c r="A3" s="3"/>
      <c r="B3" s="3"/>
      <c r="J3" t="s">
        <v>1</v>
      </c>
      <c r="K3" t="s">
        <v>1</v>
      </c>
    </row>
    <row r="4" spans="1:11" x14ac:dyDescent="0.25">
      <c r="A4" s="2"/>
      <c r="B4" s="2"/>
      <c r="H4" s="2" t="s">
        <v>86</v>
      </c>
      <c r="J4" t="s">
        <v>2</v>
      </c>
      <c r="K4" t="s">
        <v>2</v>
      </c>
    </row>
    <row r="5" spans="1:11" x14ac:dyDescent="0.25">
      <c r="A5" s="2"/>
      <c r="B5" s="2"/>
      <c r="H5" s="2"/>
      <c r="J5" t="s">
        <v>3</v>
      </c>
      <c r="K5" t="s">
        <v>3</v>
      </c>
    </row>
    <row r="6" spans="1:11" x14ac:dyDescent="0.25">
      <c r="A6" s="2"/>
      <c r="B6" s="2"/>
      <c r="H6" s="2"/>
    </row>
    <row r="7" spans="1:11" x14ac:dyDescent="0.25">
      <c r="A7" s="2"/>
      <c r="B7" s="2"/>
      <c r="H7" s="2"/>
      <c r="J7" t="s">
        <v>189</v>
      </c>
      <c r="K7" t="str">
        <f>REPLACE(J7,FIND("ABC",J7,1),3,$I$2)</f>
        <v>&lt;strong&gt;2. Global ABC Market: Competitive Landscape&lt;/strong&gt;</v>
      </c>
    </row>
    <row r="8" spans="1:11" x14ac:dyDescent="0.25">
      <c r="A8" s="2"/>
      <c r="B8" s="2"/>
      <c r="H8" s="2"/>
      <c r="J8" t="s">
        <v>187</v>
      </c>
      <c r="K8" t="str">
        <f t="shared" ref="K8:K15" si="0">J8</f>
        <v>2.1. MMR Competition Matrix</v>
      </c>
    </row>
    <row r="9" spans="1:11" x14ac:dyDescent="0.25">
      <c r="A9" s="2"/>
      <c r="B9" s="2"/>
      <c r="H9" s="2"/>
      <c r="J9" t="s">
        <v>188</v>
      </c>
      <c r="K9" t="str">
        <f t="shared" si="0"/>
        <v>2.2. Competitive Landscape</v>
      </c>
    </row>
    <row r="10" spans="1:11" x14ac:dyDescent="0.25">
      <c r="A10" s="2"/>
      <c r="B10" s="2"/>
      <c r="H10" s="2"/>
      <c r="J10" t="s">
        <v>383</v>
      </c>
      <c r="K10" t="str">
        <f t="shared" si="0"/>
        <v>2.3. Key Players Benchmarking</v>
      </c>
    </row>
    <row r="11" spans="1:11" x14ac:dyDescent="0.25">
      <c r="A11" s="2"/>
      <c r="B11" s="2"/>
      <c r="H11" s="2"/>
      <c r="J11" t="s">
        <v>384</v>
      </c>
      <c r="K11" t="str">
        <f t="shared" si="0"/>
        <v>&lt;em&gt;2.3.1. Company Name&lt;/em&gt;</v>
      </c>
    </row>
    <row r="12" spans="1:11" x14ac:dyDescent="0.25">
      <c r="A12" s="2"/>
      <c r="B12" s="2"/>
      <c r="H12" s="2"/>
      <c r="J12" t="s">
        <v>385</v>
      </c>
      <c r="K12" t="str">
        <f t="shared" si="0"/>
        <v>&lt;em&gt;2.3.2. Business Segment&lt;/em&gt;</v>
      </c>
    </row>
    <row r="13" spans="1:11" x14ac:dyDescent="0.25">
      <c r="A13" s="2"/>
      <c r="B13" s="2"/>
      <c r="H13" s="2"/>
      <c r="J13" t="s">
        <v>386</v>
      </c>
      <c r="K13" t="str">
        <f t="shared" si="0"/>
        <v>&lt;em&gt;2.3.3. End-user Segment&lt;/em&gt;</v>
      </c>
    </row>
    <row r="14" spans="1:11" x14ac:dyDescent="0.25">
      <c r="A14" s="2"/>
      <c r="B14" s="2"/>
      <c r="H14" s="2"/>
      <c r="J14" t="s">
        <v>817</v>
      </c>
      <c r="K14" t="str">
        <f t="shared" si="0"/>
        <v>&lt;em&gt;2.3.4. Revenue (2024)&lt;/em&gt;</v>
      </c>
    </row>
    <row r="15" spans="1:11" x14ac:dyDescent="0.25">
      <c r="A15" s="2"/>
      <c r="B15" s="2"/>
      <c r="H15" s="2"/>
      <c r="J15" t="s">
        <v>387</v>
      </c>
      <c r="K15" t="str">
        <f t="shared" si="0"/>
        <v>&lt;em&gt;2.3.5. Company Locations&lt;/em&gt;</v>
      </c>
    </row>
    <row r="16" spans="1:11" x14ac:dyDescent="0.25">
      <c r="A16" s="2"/>
      <c r="B16" s="2"/>
      <c r="H16" s="2"/>
      <c r="J16" t="s">
        <v>388</v>
      </c>
      <c r="K16" t="str">
        <f>REPLACE(J16,FIND("ABC",J16,1),3,$I$2)</f>
        <v>2.4. Leading ABC Market Companies, by market capitalization</v>
      </c>
    </row>
    <row r="17" spans="1:11" x14ac:dyDescent="0.25">
      <c r="A17" s="2"/>
      <c r="B17" s="2"/>
      <c r="H17" s="2"/>
      <c r="J17" t="s">
        <v>389</v>
      </c>
      <c r="K17" t="str">
        <f>J17</f>
        <v>2.5. Market Structure</v>
      </c>
    </row>
    <row r="18" spans="1:11" x14ac:dyDescent="0.25">
      <c r="A18" s="2"/>
      <c r="B18" s="2"/>
      <c r="H18" s="2"/>
      <c r="J18" t="s">
        <v>390</v>
      </c>
      <c r="K18" t="str">
        <f>J18</f>
        <v>&lt;em&gt;2.5.1. Market Leaders&lt;/em&gt;</v>
      </c>
    </row>
    <row r="19" spans="1:11" x14ac:dyDescent="0.25">
      <c r="H19" s="2"/>
      <c r="J19" t="s">
        <v>391</v>
      </c>
      <c r="K19" t="str">
        <f>J19</f>
        <v>&lt;em&gt;2.5.2. Market Followers&lt;/em&gt;</v>
      </c>
    </row>
    <row r="20" spans="1:11" x14ac:dyDescent="0.25">
      <c r="H20" s="2"/>
      <c r="J20" t="s">
        <v>392</v>
      </c>
      <c r="K20" t="str">
        <f>J20</f>
        <v>&lt;em&gt;2.5.3. Emerging Players&lt;/em&gt;</v>
      </c>
    </row>
    <row r="21" spans="1:11" x14ac:dyDescent="0.25">
      <c r="H21" s="2"/>
      <c r="J21" t="s">
        <v>393</v>
      </c>
      <c r="K21" t="str">
        <f>J21</f>
        <v>2.6. Mergers and Acquisitions Details</v>
      </c>
    </row>
    <row r="22" spans="1:11" x14ac:dyDescent="0.25">
      <c r="H22" s="2"/>
    </row>
    <row r="23" spans="1:11" x14ac:dyDescent="0.25">
      <c r="H23" s="2"/>
      <c r="J23" t="s">
        <v>190</v>
      </c>
      <c r="K23" t="str">
        <f>REPLACE(J23,FIND("ABC",J23,1),3,$I$2)</f>
        <v>&lt;strong&gt;3. ABC Market: Dynamics&lt;/strong&gt;</v>
      </c>
    </row>
    <row r="24" spans="1:11" x14ac:dyDescent="0.25">
      <c r="H24" s="2"/>
      <c r="J24" t="s">
        <v>191</v>
      </c>
      <c r="K24" t="str">
        <f>REPLACE(J24,FIND("ABC",J24,1),3,$I$2)</f>
        <v>3.1. ABC Market Trends by Region</v>
      </c>
    </row>
    <row r="25" spans="1:11" x14ac:dyDescent="0.25">
      <c r="H25" s="2"/>
      <c r="J25" t="s">
        <v>192</v>
      </c>
      <c r="K25" t="str">
        <f>REPLACE(J25,FIND("ABC",J25,1),3,$I$2)</f>
        <v>&lt;em&gt;3.1.1. North America ABC Market Trends&lt;/em&gt;</v>
      </c>
    </row>
    <row r="26" spans="1:11" x14ac:dyDescent="0.25">
      <c r="H26" s="2"/>
      <c r="J26" t="s">
        <v>193</v>
      </c>
      <c r="K26" t="str">
        <f t="shared" ref="K26:K30" si="1">REPLACE(J26,FIND("ABC",J26,1),3,$I$2)</f>
        <v>&lt;em&gt;3.1.2. Europe ABC Market Trends&lt;/em&gt;</v>
      </c>
    </row>
    <row r="27" spans="1:11" x14ac:dyDescent="0.25">
      <c r="H27" s="2"/>
      <c r="J27" t="s">
        <v>194</v>
      </c>
      <c r="K27" t="str">
        <f t="shared" si="1"/>
        <v>&lt;em&gt;3.1.3. Asia Pacific ABC Market Trends&lt;/em&gt;</v>
      </c>
    </row>
    <row r="28" spans="1:11" x14ac:dyDescent="0.25">
      <c r="H28" s="2"/>
      <c r="J28" t="s">
        <v>195</v>
      </c>
      <c r="K28" t="str">
        <f t="shared" si="1"/>
        <v>&lt;em&gt;3.1.4. Middle East and Africa ABC Market Trends&lt;/em&gt;</v>
      </c>
    </row>
    <row r="29" spans="1:11" x14ac:dyDescent="0.25">
      <c r="H29" s="2"/>
      <c r="J29" t="s">
        <v>196</v>
      </c>
      <c r="K29" t="str">
        <f t="shared" si="1"/>
        <v>&lt;em&gt;3.1.5. South America ABC Market Trends&lt;/em&gt;</v>
      </c>
    </row>
    <row r="30" spans="1:11" x14ac:dyDescent="0.25">
      <c r="H30" s="2"/>
      <c r="J30" t="s">
        <v>197</v>
      </c>
      <c r="K30" t="str">
        <f t="shared" si="1"/>
        <v>3.2. ABC Market Dynamics by Region</v>
      </c>
    </row>
    <row r="31" spans="1:11" x14ac:dyDescent="0.25">
      <c r="H31" s="2"/>
      <c r="J31" t="s">
        <v>198</v>
      </c>
      <c r="K31" t="str">
        <f>J31</f>
        <v>&lt;em&gt;3.2.1. North America&lt;/em&gt;</v>
      </c>
    </row>
    <row r="32" spans="1:11" x14ac:dyDescent="0.25">
      <c r="H32" s="2"/>
      <c r="J32" t="s">
        <v>199</v>
      </c>
      <c r="K32" t="str">
        <f>REPLACE(J32,FIND("ABC",J32,1),3,$I$2)</f>
        <v>&lt;em&gt;3.2.1.1. North America ABC Market Drivers&lt;/em&gt;</v>
      </c>
    </row>
    <row r="33" spans="8:11" x14ac:dyDescent="0.25">
      <c r="H33" s="2"/>
      <c r="J33" t="s">
        <v>200</v>
      </c>
      <c r="K33" t="str">
        <f t="shared" ref="K33:K35" si="2">REPLACE(J33,FIND("ABC",J33,1),3,$I$2)</f>
        <v>&lt;em&gt;3.2.1.2. North America ABC Market Restraints&lt;/em&gt;</v>
      </c>
    </row>
    <row r="34" spans="8:11" x14ac:dyDescent="0.25">
      <c r="H34" s="2"/>
      <c r="J34" t="s">
        <v>201</v>
      </c>
      <c r="K34" t="str">
        <f t="shared" si="2"/>
        <v>&lt;em&gt;3.2.1.3. North America ABC Market Opportunities&lt;/em&gt;</v>
      </c>
    </row>
    <row r="35" spans="8:11" x14ac:dyDescent="0.25">
      <c r="H35" s="2"/>
      <c r="J35" t="s">
        <v>202</v>
      </c>
      <c r="K35" t="str">
        <f t="shared" si="2"/>
        <v>&lt;em&gt;3.2.1.4. North America ABC Market Challenges&lt;/em&gt;</v>
      </c>
    </row>
    <row r="36" spans="8:11" x14ac:dyDescent="0.25">
      <c r="H36" s="2"/>
      <c r="J36" t="s">
        <v>203</v>
      </c>
      <c r="K36" t="str">
        <f>J36</f>
        <v>&lt;em&gt;3.2.2. Europe&lt;/em&gt;</v>
      </c>
    </row>
    <row r="37" spans="8:11" x14ac:dyDescent="0.25">
      <c r="H37" s="2"/>
      <c r="J37" t="s">
        <v>204</v>
      </c>
      <c r="K37" t="str">
        <f>REPLACE(J37,FIND("ABC",J37,1),3,$I$2)</f>
        <v>&lt;em&gt;3.2.2.1. Europe ABC Market Drivers&lt;/em&gt;</v>
      </c>
    </row>
    <row r="38" spans="8:11" x14ac:dyDescent="0.25">
      <c r="H38" s="2"/>
      <c r="J38" t="s">
        <v>205</v>
      </c>
      <c r="K38" t="str">
        <f t="shared" ref="K38:K55" si="3">REPLACE(J38,FIND("ABC",J38,1),3,$I$2)</f>
        <v>&lt;em&gt;3.2.2.2. Europe ABC Market Restraints&lt;/em&gt;</v>
      </c>
    </row>
    <row r="39" spans="8:11" x14ac:dyDescent="0.25">
      <c r="H39" s="2"/>
      <c r="J39" t="s">
        <v>206</v>
      </c>
      <c r="K39" t="str">
        <f t="shared" si="3"/>
        <v>&lt;em&gt;3.2.2.3. Europe ABC Market Opportunities&lt;/em&gt;</v>
      </c>
    </row>
    <row r="40" spans="8:11" x14ac:dyDescent="0.25">
      <c r="H40" s="2"/>
      <c r="J40" t="s">
        <v>207</v>
      </c>
      <c r="K40" t="str">
        <f t="shared" si="3"/>
        <v>&lt;em&gt;3.2.2.4. Europe ABC Market Challenges&lt;/em&gt;</v>
      </c>
    </row>
    <row r="41" spans="8:11" x14ac:dyDescent="0.25">
      <c r="H41" s="2"/>
      <c r="J41" t="s">
        <v>208</v>
      </c>
      <c r="K41" t="str">
        <f>J41</f>
        <v>&lt;em&gt;3.2.3. Asia Pacific&lt;/em&gt;</v>
      </c>
    </row>
    <row r="42" spans="8:11" x14ac:dyDescent="0.25">
      <c r="H42" s="2"/>
      <c r="J42" t="s">
        <v>209</v>
      </c>
      <c r="K42" t="str">
        <f t="shared" si="3"/>
        <v>&lt;em&gt;3.2.3.1. Asia Pacific ABC Market Drivers&lt;/em&gt;</v>
      </c>
    </row>
    <row r="43" spans="8:11" x14ac:dyDescent="0.25">
      <c r="H43" s="2"/>
      <c r="J43" t="s">
        <v>210</v>
      </c>
      <c r="K43" t="str">
        <f t="shared" si="3"/>
        <v>&lt;em&gt;3.2.3.2. Asia Pacific ABC Market Restraints&lt;/em&gt;</v>
      </c>
    </row>
    <row r="44" spans="8:11" x14ac:dyDescent="0.25">
      <c r="J44" t="s">
        <v>211</v>
      </c>
      <c r="K44" t="str">
        <f t="shared" si="3"/>
        <v>&lt;em&gt;3.2.3.3. Asia Pacific ABC Market Opportunities&lt;/em&gt;</v>
      </c>
    </row>
    <row r="45" spans="8:11" x14ac:dyDescent="0.25">
      <c r="J45" t="s">
        <v>212</v>
      </c>
      <c r="K45" t="str">
        <f t="shared" si="3"/>
        <v>&lt;em&gt;3.2.3.4. Asia Pacific ABC Market Challenges&lt;/em&gt;</v>
      </c>
    </row>
    <row r="46" spans="8:11" x14ac:dyDescent="0.25">
      <c r="J46" t="s">
        <v>213</v>
      </c>
      <c r="K46" t="str">
        <f>J46</f>
        <v>&lt;em&gt;3.2.4. Middle East and Africa&lt;/em&gt;</v>
      </c>
    </row>
    <row r="47" spans="8:11" x14ac:dyDescent="0.25">
      <c r="J47" t="s">
        <v>214</v>
      </c>
      <c r="K47" t="str">
        <f t="shared" si="3"/>
        <v>&lt;em&gt;3.2.4.1. Middle East and Africa ABC Market Drivers&lt;/em&gt;</v>
      </c>
    </row>
    <row r="48" spans="8:11" x14ac:dyDescent="0.25">
      <c r="J48" t="s">
        <v>215</v>
      </c>
      <c r="K48" t="str">
        <f t="shared" si="3"/>
        <v>&lt;em&gt;3.2.4.2. Middle East and Africa ABC Market Restraints&lt;/em&gt;</v>
      </c>
    </row>
    <row r="49" spans="10:11" x14ac:dyDescent="0.25">
      <c r="J49" t="s">
        <v>216</v>
      </c>
      <c r="K49" t="str">
        <f t="shared" si="3"/>
        <v>&lt;em&gt;3.2.4.3. Middle East and Africa ABC Market Opportunities&lt;/em&gt;</v>
      </c>
    </row>
    <row r="50" spans="10:11" x14ac:dyDescent="0.25">
      <c r="J50" t="s">
        <v>217</v>
      </c>
      <c r="K50" t="str">
        <f t="shared" si="3"/>
        <v>&lt;em&gt;3.2.4.4. Middle East and Africa ABC Market Challenges&lt;/em&gt;</v>
      </c>
    </row>
    <row r="51" spans="10:11" x14ac:dyDescent="0.25">
      <c r="J51" t="s">
        <v>218</v>
      </c>
      <c r="K51" t="str">
        <f>J51</f>
        <v>&lt;em&gt;3.2.5. South America&lt;/em&gt;</v>
      </c>
    </row>
    <row r="52" spans="10:11" x14ac:dyDescent="0.25">
      <c r="J52" t="s">
        <v>219</v>
      </c>
      <c r="K52" t="str">
        <f t="shared" si="3"/>
        <v>&lt;em&gt;3.2.5.1. South America ABC Market Drivers&lt;/em&gt;</v>
      </c>
    </row>
    <row r="53" spans="10:11" x14ac:dyDescent="0.25">
      <c r="J53" t="s">
        <v>220</v>
      </c>
      <c r="K53" t="str">
        <f t="shared" si="3"/>
        <v>&lt;em&gt;3.2.5.2. South America ABC Market Restraints&lt;/em&gt;</v>
      </c>
    </row>
    <row r="54" spans="10:11" x14ac:dyDescent="0.25">
      <c r="J54" t="s">
        <v>221</v>
      </c>
      <c r="K54" t="str">
        <f t="shared" si="3"/>
        <v>&lt;em&gt;3.2.5.3. South America ABC Market Opportunities&lt;/em&gt;</v>
      </c>
    </row>
    <row r="55" spans="10:11" x14ac:dyDescent="0.25">
      <c r="J55" t="s">
        <v>222</v>
      </c>
      <c r="K55" t="str">
        <f t="shared" si="3"/>
        <v>&lt;em&gt;3.2.5.4. South America ABC Market Challenges&lt;/em&gt;</v>
      </c>
    </row>
    <row r="56" spans="10:11" x14ac:dyDescent="0.25">
      <c r="J56" t="s">
        <v>223</v>
      </c>
      <c r="K56" t="str">
        <f t="shared" ref="K56:K64" si="4">J56</f>
        <v>3.3. PORTER’s Five Forces Analysis</v>
      </c>
    </row>
    <row r="57" spans="10:11" x14ac:dyDescent="0.25">
      <c r="J57" t="s">
        <v>224</v>
      </c>
      <c r="K57" t="str">
        <f t="shared" si="4"/>
        <v>3.4. PESTLE Analysis</v>
      </c>
    </row>
    <row r="58" spans="10:11" x14ac:dyDescent="0.25">
      <c r="J58" t="s">
        <v>225</v>
      </c>
      <c r="K58" t="str">
        <f t="shared" si="4"/>
        <v>3.5. Technology Roadmap</v>
      </c>
    </row>
    <row r="59" spans="10:11" x14ac:dyDescent="0.25">
      <c r="J59" t="s">
        <v>226</v>
      </c>
      <c r="K59" t="str">
        <f t="shared" si="4"/>
        <v>3.6. Regulatory Landscape by Region</v>
      </c>
    </row>
    <row r="60" spans="10:11" x14ac:dyDescent="0.25">
      <c r="J60" t="s">
        <v>117</v>
      </c>
      <c r="K60" t="str">
        <f t="shared" si="4"/>
        <v>&lt;em&gt;3.6.1. North America&lt;/em&gt;</v>
      </c>
    </row>
    <row r="61" spans="10:11" x14ac:dyDescent="0.25">
      <c r="J61" t="s">
        <v>118</v>
      </c>
      <c r="K61" t="str">
        <f t="shared" si="4"/>
        <v>&lt;em&gt;3.6.2. Europe&lt;/em&gt;</v>
      </c>
    </row>
    <row r="62" spans="10:11" x14ac:dyDescent="0.25">
      <c r="J62" t="s">
        <v>119</v>
      </c>
      <c r="K62" t="str">
        <f t="shared" si="4"/>
        <v>&lt;em&gt;3.6.3. Asia Pacific&lt;/em&gt;</v>
      </c>
    </row>
    <row r="63" spans="10:11" x14ac:dyDescent="0.25">
      <c r="J63" t="s">
        <v>120</v>
      </c>
      <c r="K63" t="str">
        <f t="shared" si="4"/>
        <v>&lt;em&gt;3.6.4. Middle East and Africa&lt;/em&gt;</v>
      </c>
    </row>
    <row r="64" spans="10:11" x14ac:dyDescent="0.25">
      <c r="J64" t="s">
        <v>121</v>
      </c>
      <c r="K64" t="str">
        <f t="shared" si="4"/>
        <v>&lt;em&gt;3.6.5. South America&lt;/em&gt;</v>
      </c>
    </row>
    <row r="65" spans="10:11" x14ac:dyDescent="0.25">
      <c r="J65" t="s">
        <v>227</v>
      </c>
      <c r="K65" t="str">
        <f>REPLACE(J65,FIND("ABC",J65,1),3,$I$2)</f>
        <v>3.7. Key Opinion Leader Analysis For ABC Industry</v>
      </c>
    </row>
    <row r="66" spans="10:11" x14ac:dyDescent="0.25">
      <c r="J66" t="s">
        <v>228</v>
      </c>
      <c r="K66" t="str">
        <f>REPLACE(J66,FIND("ABC",J66,1),3,$I$2)</f>
        <v>3.8. Analysis of Government Schemes and Initiatives For ABC Industry</v>
      </c>
    </row>
    <row r="67" spans="10:11" x14ac:dyDescent="0.25">
      <c r="J67" t="s">
        <v>229</v>
      </c>
      <c r="K67" t="str">
        <f>REPLACE(J67,FIND("ABC",J67,1),3,$I$2)</f>
        <v>3.9. ABC Market Trade Analysis</v>
      </c>
    </row>
    <row r="68" spans="10:11" x14ac:dyDescent="0.25">
      <c r="J68" t="s">
        <v>230</v>
      </c>
      <c r="K68" t="str">
        <f>REPLACE(J68,FIND("ABC",J68,1),3,$I$2)</f>
        <v>3.10. The Global Pandemic Impact on ABC Market</v>
      </c>
    </row>
    <row r="70" spans="10:11" x14ac:dyDescent="0.25">
      <c r="J70" t="s">
        <v>818</v>
      </c>
      <c r="K70" t="str">
        <f>REPLACE(J70,FIND("ABC",J70,1),3,$I$2)</f>
        <v>&lt;strong&gt;4. ABC Market: Global Market Size and Forecast by Segmentation by Demand and Supply Side (by Value in USD Million) 2024-2032&lt;/strong&gt;</v>
      </c>
    </row>
    <row r="71" spans="10:11" x14ac:dyDescent="0.25">
      <c r="J71" t="s">
        <v>819</v>
      </c>
      <c r="K71" t="str">
        <f>REPLACE(IF(A2&gt;0,REPLACE(J71,39,8,A2),""),6,3,I2)</f>
        <v>4.1. ABC Market Size and Forecast, by AA (2024-2032)</v>
      </c>
    </row>
    <row r="72" spans="10:11" x14ac:dyDescent="0.25">
      <c r="J72" t="s">
        <v>4</v>
      </c>
      <c r="K72" t="str">
        <f t="shared" ref="K72:K80" si="5">IF(A4&gt;0,REPLACE(J72,12,3,A4),"")</f>
        <v/>
      </c>
    </row>
    <row r="73" spans="10:11" x14ac:dyDescent="0.25">
      <c r="J73" t="s">
        <v>5</v>
      </c>
      <c r="K73" t="str">
        <f t="shared" si="5"/>
        <v/>
      </c>
    </row>
    <row r="74" spans="10:11" x14ac:dyDescent="0.25">
      <c r="J74" t="s">
        <v>6</v>
      </c>
      <c r="K74" t="str">
        <f t="shared" si="5"/>
        <v/>
      </c>
    </row>
    <row r="75" spans="10:11" x14ac:dyDescent="0.25">
      <c r="J75" t="s">
        <v>7</v>
      </c>
      <c r="K75" t="str">
        <f t="shared" si="5"/>
        <v/>
      </c>
    </row>
    <row r="76" spans="10:11" x14ac:dyDescent="0.25">
      <c r="J76" t="s">
        <v>8</v>
      </c>
      <c r="K76" t="str">
        <f t="shared" si="5"/>
        <v/>
      </c>
    </row>
    <row r="77" spans="10:11" x14ac:dyDescent="0.25">
      <c r="J77" t="s">
        <v>9</v>
      </c>
      <c r="K77" t="str">
        <f t="shared" si="5"/>
        <v/>
      </c>
    </row>
    <row r="78" spans="10:11" x14ac:dyDescent="0.25">
      <c r="J78" t="s">
        <v>10</v>
      </c>
      <c r="K78" t="str">
        <f t="shared" si="5"/>
        <v/>
      </c>
    </row>
    <row r="79" spans="10:11" x14ac:dyDescent="0.25">
      <c r="J79" t="s">
        <v>11</v>
      </c>
      <c r="K79" t="str">
        <f t="shared" si="5"/>
        <v/>
      </c>
    </row>
    <row r="80" spans="10:11" x14ac:dyDescent="0.25">
      <c r="J80" t="s">
        <v>12</v>
      </c>
      <c r="K80" t="str">
        <f t="shared" si="5"/>
        <v/>
      </c>
    </row>
    <row r="81" spans="10:11" x14ac:dyDescent="0.25">
      <c r="J81" t="s">
        <v>123</v>
      </c>
      <c r="K81" t="str">
        <f t="shared" ref="K81:K86" si="6">IF(A13&gt;0,REPLACE(J81,13,4,A13),"")</f>
        <v/>
      </c>
    </row>
    <row r="82" spans="10:11" x14ac:dyDescent="0.25">
      <c r="J82" t="s">
        <v>124</v>
      </c>
      <c r="K82" t="str">
        <f t="shared" si="6"/>
        <v/>
      </c>
    </row>
    <row r="83" spans="10:11" x14ac:dyDescent="0.25">
      <c r="J83" t="s">
        <v>125</v>
      </c>
      <c r="K83" t="str">
        <f t="shared" si="6"/>
        <v/>
      </c>
    </row>
    <row r="84" spans="10:11" x14ac:dyDescent="0.25">
      <c r="J84" t="s">
        <v>126</v>
      </c>
      <c r="K84" t="str">
        <f t="shared" si="6"/>
        <v/>
      </c>
    </row>
    <row r="85" spans="10:11" x14ac:dyDescent="0.25">
      <c r="J85" t="s">
        <v>127</v>
      </c>
      <c r="K85" t="str">
        <f t="shared" si="6"/>
        <v/>
      </c>
    </row>
    <row r="86" spans="10:11" x14ac:dyDescent="0.25">
      <c r="J86" t="s">
        <v>128</v>
      </c>
      <c r="K86" t="str">
        <f t="shared" si="6"/>
        <v/>
      </c>
    </row>
    <row r="87" spans="10:11" x14ac:dyDescent="0.25">
      <c r="J87" t="s">
        <v>820</v>
      </c>
      <c r="K87" t="str">
        <f>REPLACE(IF(B2&gt;0,REPLACE(J87,39,8,B2),""),6,3,I2)</f>
        <v>4.2. ABC Market Size and Forecast, by BB (2024-2032)</v>
      </c>
    </row>
    <row r="88" spans="10:11" x14ac:dyDescent="0.25">
      <c r="J88" t="s">
        <v>13</v>
      </c>
      <c r="K88" t="str">
        <f t="shared" ref="K88:K96" si="7">IF(B4&gt;0,REPLACE(J88,12,3,B4),"")</f>
        <v/>
      </c>
    </row>
    <row r="89" spans="10:11" x14ac:dyDescent="0.25">
      <c r="J89" t="s">
        <v>14</v>
      </c>
      <c r="K89" t="str">
        <f t="shared" si="7"/>
        <v/>
      </c>
    </row>
    <row r="90" spans="10:11" x14ac:dyDescent="0.25">
      <c r="J90" t="s">
        <v>15</v>
      </c>
      <c r="K90" t="str">
        <f t="shared" si="7"/>
        <v/>
      </c>
    </row>
    <row r="91" spans="10:11" x14ac:dyDescent="0.25">
      <c r="J91" t="s">
        <v>16</v>
      </c>
      <c r="K91" t="str">
        <f t="shared" si="7"/>
        <v/>
      </c>
    </row>
    <row r="92" spans="10:11" x14ac:dyDescent="0.25">
      <c r="J92" t="s">
        <v>17</v>
      </c>
      <c r="K92" t="str">
        <f t="shared" si="7"/>
        <v/>
      </c>
    </row>
    <row r="93" spans="10:11" x14ac:dyDescent="0.25">
      <c r="J93" t="s">
        <v>18</v>
      </c>
      <c r="K93" t="str">
        <f t="shared" si="7"/>
        <v/>
      </c>
    </row>
    <row r="94" spans="10:11" x14ac:dyDescent="0.25">
      <c r="J94" t="s">
        <v>19</v>
      </c>
      <c r="K94" t="str">
        <f t="shared" si="7"/>
        <v/>
      </c>
    </row>
    <row r="95" spans="10:11" x14ac:dyDescent="0.25">
      <c r="J95" t="s">
        <v>20</v>
      </c>
      <c r="K95" t="str">
        <f t="shared" si="7"/>
        <v/>
      </c>
    </row>
    <row r="96" spans="10:11" x14ac:dyDescent="0.25">
      <c r="J96" t="s">
        <v>21</v>
      </c>
      <c r="K96" t="str">
        <f t="shared" si="7"/>
        <v/>
      </c>
    </row>
    <row r="97" spans="10:11" x14ac:dyDescent="0.25">
      <c r="J97" t="s">
        <v>129</v>
      </c>
      <c r="K97" t="str">
        <f t="shared" ref="K97:K102" si="8">IF(B13&gt;0,REPLACE(J97,13,4,B13),"")</f>
        <v/>
      </c>
    </row>
    <row r="98" spans="10:11" x14ac:dyDescent="0.25">
      <c r="J98" t="s">
        <v>130</v>
      </c>
      <c r="K98" t="str">
        <f t="shared" si="8"/>
        <v/>
      </c>
    </row>
    <row r="99" spans="10:11" x14ac:dyDescent="0.25">
      <c r="J99" t="s">
        <v>131</v>
      </c>
      <c r="K99" t="str">
        <f t="shared" si="8"/>
        <v/>
      </c>
    </row>
    <row r="100" spans="10:11" x14ac:dyDescent="0.25">
      <c r="J100" t="s">
        <v>132</v>
      </c>
      <c r="K100" t="str">
        <f t="shared" si="8"/>
        <v/>
      </c>
    </row>
    <row r="101" spans="10:11" x14ac:dyDescent="0.25">
      <c r="J101" t="s">
        <v>133</v>
      </c>
      <c r="K101" t="str">
        <f t="shared" si="8"/>
        <v/>
      </c>
    </row>
    <row r="102" spans="10:11" x14ac:dyDescent="0.25">
      <c r="J102" t="s">
        <v>134</v>
      </c>
      <c r="K102" t="str">
        <f t="shared" si="8"/>
        <v/>
      </c>
    </row>
    <row r="103" spans="10:11" x14ac:dyDescent="0.25">
      <c r="J103" t="s">
        <v>2600</v>
      </c>
      <c r="K103" t="str">
        <f>REPLACE(J103,6,3,I2)</f>
        <v>4.3. ABC Market Size and Forecast, by Region (2024-2032)</v>
      </c>
    </row>
    <row r="104" spans="10:11" x14ac:dyDescent="0.25">
      <c r="J104" t="s">
        <v>231</v>
      </c>
      <c r="K104" t="str">
        <f>J104</f>
        <v>&lt;em&gt;4.3.1. North America&lt;/em&gt;</v>
      </c>
    </row>
    <row r="105" spans="10:11" x14ac:dyDescent="0.25">
      <c r="J105" t="s">
        <v>232</v>
      </c>
      <c r="K105" t="str">
        <f>J105</f>
        <v>&lt;em&gt;4.3.2. Europe&lt;/em&gt;</v>
      </c>
    </row>
    <row r="106" spans="10:11" x14ac:dyDescent="0.25">
      <c r="J106" t="s">
        <v>233</v>
      </c>
      <c r="K106" t="str">
        <f>J106</f>
        <v>&lt;em&gt;4.3.3. Asia Pacific&lt;/em&gt;</v>
      </c>
    </row>
    <row r="107" spans="10:11" x14ac:dyDescent="0.25">
      <c r="J107" t="s">
        <v>234</v>
      </c>
      <c r="K107" t="str">
        <f>J107</f>
        <v>&lt;em&gt;4.3.4. Middle East and Africa&lt;/em&gt;</v>
      </c>
    </row>
    <row r="108" spans="10:11" x14ac:dyDescent="0.25">
      <c r="J108" t="s">
        <v>235</v>
      </c>
      <c r="K108" t="str">
        <f>J108</f>
        <v>&lt;em&gt;4.3.5. South America&lt;/em&gt;</v>
      </c>
    </row>
    <row r="110" spans="10:11" x14ac:dyDescent="0.25">
      <c r="J110" t="s">
        <v>827</v>
      </c>
      <c r="K110" t="str">
        <f>REPLACE(J110,FIND("ABC",J110,1),3,I2)</f>
        <v>&lt;strong&gt;5. North America ABC Market Size and Forecast by Segmentation (by Value in USD Million) 2024-2032&lt;/strong&gt;</v>
      </c>
    </row>
    <row r="111" spans="10:11" x14ac:dyDescent="0.25">
      <c r="J111" t="s">
        <v>828</v>
      </c>
      <c r="K111" t="str">
        <f>REPLACE(IF(A2&gt;0,REPLACE(J111,53,8,A2),""),20,3,I2)</f>
        <v>5.1. North America ABC Market Size and Forecast, by AA (2024-2032)</v>
      </c>
    </row>
    <row r="112" spans="10:11" x14ac:dyDescent="0.25">
      <c r="J112" t="s">
        <v>236</v>
      </c>
      <c r="K112" t="str">
        <f>IF(A4&gt;0,REPLACE(J112,12,3,A4),"")</f>
        <v/>
      </c>
    </row>
    <row r="113" spans="10:11" x14ac:dyDescent="0.25">
      <c r="J113" t="s">
        <v>237</v>
      </c>
      <c r="K113" t="str">
        <f>IF(A5&gt;0,REPLACE(J113,12,3,A5),"")</f>
        <v/>
      </c>
    </row>
    <row r="114" spans="10:11" x14ac:dyDescent="0.25">
      <c r="J114" t="s">
        <v>238</v>
      </c>
      <c r="K114" t="str">
        <f>IF(A6&gt;0,REPLACE(J114,12,3,A6),"")</f>
        <v/>
      </c>
    </row>
    <row r="115" spans="10:11" x14ac:dyDescent="0.25">
      <c r="J115" t="s">
        <v>239</v>
      </c>
      <c r="K115" t="str">
        <f>IF(A7&gt;0,REPLACE(J115,12,3,A7),"")</f>
        <v/>
      </c>
    </row>
    <row r="116" spans="10:11" x14ac:dyDescent="0.25">
      <c r="J116" t="s">
        <v>240</v>
      </c>
      <c r="K116" t="str">
        <f>IF(A8&gt;0,REPLACE(J116,12,3,A8),"")</f>
        <v/>
      </c>
    </row>
    <row r="117" spans="10:11" x14ac:dyDescent="0.25">
      <c r="J117" t="s">
        <v>241</v>
      </c>
      <c r="K117" t="str">
        <f>IF(A9&gt;0,REPLACE(J117,12,3,A9),"")</f>
        <v/>
      </c>
    </row>
    <row r="118" spans="10:11" x14ac:dyDescent="0.25">
      <c r="J118" t="s">
        <v>242</v>
      </c>
      <c r="K118" t="str">
        <f>IF(A10&gt;0,REPLACE(J118,12,3,A10),"")</f>
        <v/>
      </c>
    </row>
    <row r="119" spans="10:11" x14ac:dyDescent="0.25">
      <c r="J119" t="s">
        <v>243</v>
      </c>
      <c r="K119" t="str">
        <f>IF(A11&gt;0,REPLACE(J119,12,3,A11),"")</f>
        <v/>
      </c>
    </row>
    <row r="120" spans="10:11" x14ac:dyDescent="0.25">
      <c r="J120" t="s">
        <v>244</v>
      </c>
      <c r="K120" t="str">
        <f>IF(A12&gt;0,REPLACE(J120,12,3,A12),"")</f>
        <v/>
      </c>
    </row>
    <row r="121" spans="10:11" x14ac:dyDescent="0.25">
      <c r="J121" t="s">
        <v>245</v>
      </c>
      <c r="K121" t="str">
        <f>IF(A13&gt;0,REPLACE(J121,13,4,A13),"")</f>
        <v/>
      </c>
    </row>
    <row r="122" spans="10:11" x14ac:dyDescent="0.25">
      <c r="J122" t="s">
        <v>246</v>
      </c>
      <c r="K122" t="str">
        <f>IF(A14&gt;0,REPLACE(J122,13,4,A14),"")</f>
        <v/>
      </c>
    </row>
    <row r="123" spans="10:11" x14ac:dyDescent="0.25">
      <c r="J123" t="s">
        <v>247</v>
      </c>
      <c r="K123" t="str">
        <f>IF(A15&gt;0,REPLACE(J123,13,4,A15),"")</f>
        <v/>
      </c>
    </row>
    <row r="124" spans="10:11" x14ac:dyDescent="0.25">
      <c r="J124" t="s">
        <v>248</v>
      </c>
      <c r="K124" t="str">
        <f>IF(A16&gt;0,REPLACE(J124,13,4,A16),"")</f>
        <v/>
      </c>
    </row>
    <row r="125" spans="10:11" x14ac:dyDescent="0.25">
      <c r="J125" t="s">
        <v>249</v>
      </c>
      <c r="K125" t="str">
        <f>IF(A17&gt;0,REPLACE(J125,13,4,A17),"")</f>
        <v/>
      </c>
    </row>
    <row r="126" spans="10:11" x14ac:dyDescent="0.25">
      <c r="J126" t="s">
        <v>250</v>
      </c>
      <c r="K126" t="str">
        <f>IF(A18&gt;0,REPLACE(J126,13,4,A18),"")</f>
        <v/>
      </c>
    </row>
    <row r="127" spans="10:11" x14ac:dyDescent="0.25">
      <c r="J127" t="s">
        <v>829</v>
      </c>
      <c r="K127" t="str">
        <f>REPLACE(IF(B2&gt;0,REPLACE(J127,53,8,B2),""),20,3,I2)</f>
        <v>5.2. North America ABC Market Size and Forecast, by BB (2024-2032)</v>
      </c>
    </row>
    <row r="128" spans="10:11" x14ac:dyDescent="0.25">
      <c r="J128" t="s">
        <v>251</v>
      </c>
      <c r="K128" t="str">
        <f>IF(B4&gt;0,REPLACE(J128,12,3,B4),"")</f>
        <v/>
      </c>
    </row>
    <row r="129" spans="10:11" x14ac:dyDescent="0.25">
      <c r="J129" t="s">
        <v>252</v>
      </c>
      <c r="K129" t="str">
        <f>IF(B5&gt;0,REPLACE(J129,12,3,B5),"")</f>
        <v/>
      </c>
    </row>
    <row r="130" spans="10:11" x14ac:dyDescent="0.25">
      <c r="J130" t="s">
        <v>253</v>
      </c>
      <c r="K130" t="str">
        <f>IF(B6&gt;0,REPLACE(J130,12,3,B6),"")</f>
        <v/>
      </c>
    </row>
    <row r="131" spans="10:11" x14ac:dyDescent="0.25">
      <c r="J131" t="s">
        <v>254</v>
      </c>
      <c r="K131" t="str">
        <f>IF(B7&gt;0,REPLACE(J131,12,3,B7),"")</f>
        <v/>
      </c>
    </row>
    <row r="132" spans="10:11" x14ac:dyDescent="0.25">
      <c r="J132" t="s">
        <v>255</v>
      </c>
      <c r="K132" t="str">
        <f>IF(B8&gt;0,REPLACE(J132,12,3,B8),"")</f>
        <v/>
      </c>
    </row>
    <row r="133" spans="10:11" x14ac:dyDescent="0.25">
      <c r="J133" t="s">
        <v>256</v>
      </c>
      <c r="K133" t="str">
        <f>IF(B9&gt;0,REPLACE(J133,12,3,B9),"")</f>
        <v/>
      </c>
    </row>
    <row r="134" spans="10:11" x14ac:dyDescent="0.25">
      <c r="J134" t="s">
        <v>257</v>
      </c>
      <c r="K134" t="str">
        <f>IF(B10&gt;0,REPLACE(J134,12,3,B10),"")</f>
        <v/>
      </c>
    </row>
    <row r="135" spans="10:11" x14ac:dyDescent="0.25">
      <c r="J135" t="s">
        <v>258</v>
      </c>
      <c r="K135" t="str">
        <f>IF(B11&gt;0,REPLACE(J135,12,3,B11),"")</f>
        <v/>
      </c>
    </row>
    <row r="136" spans="10:11" x14ac:dyDescent="0.25">
      <c r="J136" t="s">
        <v>259</v>
      </c>
      <c r="K136" t="str">
        <f>IF(B12&gt;0,REPLACE(J136,12,3,B12),"")</f>
        <v/>
      </c>
    </row>
    <row r="137" spans="10:11" x14ac:dyDescent="0.25">
      <c r="J137" t="s">
        <v>260</v>
      </c>
      <c r="K137" t="str">
        <f>IF(B13&gt;0,REPLACE(J137,13,4,B13),"")</f>
        <v/>
      </c>
    </row>
    <row r="138" spans="10:11" x14ac:dyDescent="0.25">
      <c r="J138" t="s">
        <v>261</v>
      </c>
      <c r="K138" t="str">
        <f>IF(B14&gt;0,REPLACE(J138,13,4,B14),"")</f>
        <v/>
      </c>
    </row>
    <row r="139" spans="10:11" x14ac:dyDescent="0.25">
      <c r="J139" t="s">
        <v>262</v>
      </c>
      <c r="K139" t="str">
        <f>IF(B15&gt;0,REPLACE(J139,13,4,B15),"")</f>
        <v/>
      </c>
    </row>
    <row r="140" spans="10:11" x14ac:dyDescent="0.25">
      <c r="J140" t="s">
        <v>263</v>
      </c>
      <c r="K140" t="str">
        <f>IF(B16&gt;0,REPLACE(J140,13,4,B16),"")</f>
        <v/>
      </c>
    </row>
    <row r="141" spans="10:11" x14ac:dyDescent="0.25">
      <c r="J141" t="s">
        <v>264</v>
      </c>
      <c r="K141" t="str">
        <f>IF(B17&gt;0,REPLACE(J141,13,4,B17),"")</f>
        <v/>
      </c>
    </row>
    <row r="142" spans="10:11" x14ac:dyDescent="0.25">
      <c r="J142" t="s">
        <v>265</v>
      </c>
      <c r="K142" t="str">
        <f>IF(B18&gt;0,REPLACE(J142,13,4,B18),"")</f>
        <v/>
      </c>
    </row>
    <row r="143" spans="10:11" x14ac:dyDescent="0.25">
      <c r="J143" t="s">
        <v>2593</v>
      </c>
      <c r="K143" t="str">
        <f>REPLACE(J143,20,3,I2)</f>
        <v>5.3. North America ABC Market Size and Forecast, by Country (2024-2032)</v>
      </c>
    </row>
    <row r="144" spans="10:11" x14ac:dyDescent="0.25">
      <c r="J144" t="s">
        <v>266</v>
      </c>
      <c r="K144" t="str">
        <f>J144</f>
        <v>&lt;strong&gt;&lt;em&gt;5.3.1. United States&lt;/em&gt;&lt;/strong&gt;</v>
      </c>
    </row>
    <row r="145" spans="10:11" x14ac:dyDescent="0.25">
      <c r="J145" t="s">
        <v>2594</v>
      </c>
      <c r="K145" t="str">
        <f>REPLACE(IF(A2&gt;0,REPLACE(J145,61,8,A2),""),28,3,I2)</f>
        <v>&lt;em&gt;5.3.1.1. United States ABC Market Size and Forecast, by AA (2024-2032)&lt;/em&gt;</v>
      </c>
    </row>
    <row r="146" spans="10:11" x14ac:dyDescent="0.25">
      <c r="J146" t="s">
        <v>267</v>
      </c>
      <c r="K146" t="str">
        <f>IF(A4&gt;0,REPLACE(J146,16,3,A4),"")</f>
        <v/>
      </c>
    </row>
    <row r="147" spans="10:11" x14ac:dyDescent="0.25">
      <c r="J147" t="s">
        <v>268</v>
      </c>
      <c r="K147" t="str">
        <f>IF(A5&gt;0,REPLACE(J147,16,3,A5),"")</f>
        <v/>
      </c>
    </row>
    <row r="148" spans="10:11" x14ac:dyDescent="0.25">
      <c r="J148" t="s">
        <v>269</v>
      </c>
      <c r="K148" t="str">
        <f>IF(A6&gt;0,REPLACE(J148,16,3,A6),"")</f>
        <v/>
      </c>
    </row>
    <row r="149" spans="10:11" x14ac:dyDescent="0.25">
      <c r="J149" t="s">
        <v>270</v>
      </c>
      <c r="K149" t="str">
        <f>IF(A7&gt;0,REPLACE(J149,16,3,A7),"")</f>
        <v/>
      </c>
    </row>
    <row r="150" spans="10:11" x14ac:dyDescent="0.25">
      <c r="J150" t="s">
        <v>271</v>
      </c>
      <c r="K150" t="str">
        <f>IF(A8&gt;0,REPLACE(J150,16,3,A8),"")</f>
        <v/>
      </c>
    </row>
    <row r="151" spans="10:11" x14ac:dyDescent="0.25">
      <c r="J151" t="s">
        <v>272</v>
      </c>
      <c r="K151" t="str">
        <f>IF(A9&gt;0,REPLACE(J151,16,3,A9),"")</f>
        <v/>
      </c>
    </row>
    <row r="152" spans="10:11" x14ac:dyDescent="0.25">
      <c r="J152" t="s">
        <v>273</v>
      </c>
      <c r="K152" t="str">
        <f>IF(A10&gt;0,REPLACE(J152,16,3,A10),"")</f>
        <v/>
      </c>
    </row>
    <row r="153" spans="10:11" x14ac:dyDescent="0.25">
      <c r="J153" t="s">
        <v>274</v>
      </c>
      <c r="K153" t="str">
        <f>IF(A11&gt;0,REPLACE(J153,16,3,A11),"")</f>
        <v/>
      </c>
    </row>
    <row r="154" spans="10:11" x14ac:dyDescent="0.25">
      <c r="J154" t="s">
        <v>275</v>
      </c>
      <c r="K154" t="str">
        <f>IF(A12&gt;0,REPLACE(J154,16,3,A12),"")</f>
        <v/>
      </c>
    </row>
    <row r="155" spans="10:11" x14ac:dyDescent="0.25">
      <c r="J155" t="s">
        <v>276</v>
      </c>
      <c r="K155" t="str">
        <f>IF(A13&gt;0,REPLACE(J155,17,4,A13),"")</f>
        <v/>
      </c>
    </row>
    <row r="156" spans="10:11" x14ac:dyDescent="0.25">
      <c r="J156" t="s">
        <v>277</v>
      </c>
      <c r="K156" t="str">
        <f>IF(A14&gt;0,REPLACE(J156,17,4,A14),"")</f>
        <v/>
      </c>
    </row>
    <row r="157" spans="10:11" x14ac:dyDescent="0.25">
      <c r="J157" t="s">
        <v>278</v>
      </c>
      <c r="K157" t="str">
        <f>IF(A15&gt;0,REPLACE(J157,17,4,A15),"")</f>
        <v/>
      </c>
    </row>
    <row r="158" spans="10:11" x14ac:dyDescent="0.25">
      <c r="J158" t="s">
        <v>279</v>
      </c>
      <c r="K158" t="str">
        <f>IF(A16&gt;0,REPLACE(J158,17,4,A16),"")</f>
        <v/>
      </c>
    </row>
    <row r="159" spans="10:11" x14ac:dyDescent="0.25">
      <c r="J159" t="s">
        <v>280</v>
      </c>
      <c r="K159" t="str">
        <f>IF(A17&gt;0,REPLACE(J159,17,4,A17),"")</f>
        <v/>
      </c>
    </row>
    <row r="160" spans="10:11" x14ac:dyDescent="0.25">
      <c r="J160" t="s">
        <v>281</v>
      </c>
      <c r="K160" t="str">
        <f>IF(A18&gt;0,REPLACE(J160,17,4,A18),"")</f>
        <v/>
      </c>
    </row>
    <row r="161" spans="10:11" x14ac:dyDescent="0.25">
      <c r="J161" t="s">
        <v>2595</v>
      </c>
      <c r="K161" t="str">
        <f>REPLACE(IF(B2&gt;0,REPLACE(J161,61,8,B2),""),28,3,I2)</f>
        <v>&lt;em&gt;5.3.1.2. United States ABC Market Size and Forecast, by BB (2024-2032)&lt;/em&gt;</v>
      </c>
    </row>
    <row r="162" spans="10:11" x14ac:dyDescent="0.25">
      <c r="J162" t="s">
        <v>282</v>
      </c>
      <c r="K162" t="str">
        <f>IF(B4&gt;0,REPLACE(J162,16,3,B4),"")</f>
        <v/>
      </c>
    </row>
    <row r="163" spans="10:11" x14ac:dyDescent="0.25">
      <c r="J163" t="s">
        <v>283</v>
      </c>
      <c r="K163" t="str">
        <f>IF(B5&gt;0,REPLACE(J163,16,3,B5),"")</f>
        <v/>
      </c>
    </row>
    <row r="164" spans="10:11" x14ac:dyDescent="0.25">
      <c r="J164" t="s">
        <v>284</v>
      </c>
      <c r="K164" t="str">
        <f>IF(B6&gt;0,REPLACE(J164,16,3,B6),"")</f>
        <v/>
      </c>
    </row>
    <row r="165" spans="10:11" x14ac:dyDescent="0.25">
      <c r="J165" t="s">
        <v>285</v>
      </c>
      <c r="K165" t="str">
        <f>IF(B7&gt;0,REPLACE(J165,16,3,B7),"")</f>
        <v/>
      </c>
    </row>
    <row r="166" spans="10:11" x14ac:dyDescent="0.25">
      <c r="J166" t="s">
        <v>286</v>
      </c>
      <c r="K166" t="str">
        <f>IF(B8&gt;0,REPLACE(J166,16,3,B8),"")</f>
        <v/>
      </c>
    </row>
    <row r="167" spans="10:11" x14ac:dyDescent="0.25">
      <c r="J167" t="s">
        <v>287</v>
      </c>
      <c r="K167" t="str">
        <f>IF(B9&gt;0,REPLACE(J167,16,3,B9),"")</f>
        <v/>
      </c>
    </row>
    <row r="168" spans="10:11" x14ac:dyDescent="0.25">
      <c r="J168" t="s">
        <v>288</v>
      </c>
      <c r="K168" t="str">
        <f>IF(B10&gt;0,REPLACE(J168,16,3,B10),"")</f>
        <v/>
      </c>
    </row>
    <row r="169" spans="10:11" x14ac:dyDescent="0.25">
      <c r="J169" t="s">
        <v>289</v>
      </c>
      <c r="K169" t="str">
        <f>IF(B11&gt;0,REPLACE(J169,16,3,B11),"")</f>
        <v/>
      </c>
    </row>
    <row r="170" spans="10:11" x14ac:dyDescent="0.25">
      <c r="J170" t="s">
        <v>290</v>
      </c>
      <c r="K170" t="str">
        <f>IF(B12&gt;0,REPLACE(J170,16,3,B12),"")</f>
        <v/>
      </c>
    </row>
    <row r="171" spans="10:11" x14ac:dyDescent="0.25">
      <c r="J171" t="s">
        <v>291</v>
      </c>
      <c r="K171" t="str">
        <f>IF(B13&gt;0,REPLACE(J171,17,4,B13),"")</f>
        <v/>
      </c>
    </row>
    <row r="172" spans="10:11" x14ac:dyDescent="0.25">
      <c r="J172" t="s">
        <v>292</v>
      </c>
      <c r="K172" t="str">
        <f>IF(B14&gt;0,REPLACE(J172,17,4,B14),"")</f>
        <v/>
      </c>
    </row>
    <row r="173" spans="10:11" x14ac:dyDescent="0.25">
      <c r="J173" t="s">
        <v>293</v>
      </c>
      <c r="K173" t="str">
        <f>IF(B15&gt;0,REPLACE(J173,17,4,B15),"")</f>
        <v/>
      </c>
    </row>
    <row r="174" spans="10:11" x14ac:dyDescent="0.25">
      <c r="J174" t="s">
        <v>294</v>
      </c>
      <c r="K174" t="str">
        <f>IF(B16&gt;0,REPLACE(J174,17,4,B16),"")</f>
        <v/>
      </c>
    </row>
    <row r="175" spans="10:11" x14ac:dyDescent="0.25">
      <c r="J175" t="s">
        <v>295</v>
      </c>
      <c r="K175" t="str">
        <f>IF(B17&gt;0,REPLACE(J175,17,4,B17),"")</f>
        <v/>
      </c>
    </row>
    <row r="176" spans="10:11" x14ac:dyDescent="0.25">
      <c r="J176" t="s">
        <v>296</v>
      </c>
      <c r="K176" t="str">
        <f>IF(B18&gt;0,REPLACE(J176,17,4,B18),"")</f>
        <v/>
      </c>
    </row>
    <row r="177" spans="10:11" x14ac:dyDescent="0.25">
      <c r="J177" t="s">
        <v>297</v>
      </c>
      <c r="K177" t="str">
        <f>J177</f>
        <v>&lt;strong&gt;&lt;em&gt;5.3.2. Canada&lt;/em&gt;&lt;/strong&gt;</v>
      </c>
    </row>
    <row r="178" spans="10:11" x14ac:dyDescent="0.25">
      <c r="J178" t="s">
        <v>2596</v>
      </c>
      <c r="K178" t="str">
        <f>REPLACE(IF(A2&gt;0,REPLACE(J178,54,8,A2),""),21,3,I2)</f>
        <v>&lt;em&gt;5.3.2.1. Canada ABC Market Size and Forecast, by AA (2024-2032)&lt;/em&gt;</v>
      </c>
    </row>
    <row r="179" spans="10:11" x14ac:dyDescent="0.25">
      <c r="J179" t="s">
        <v>298</v>
      </c>
      <c r="K179" t="str">
        <f>IF(A4&gt;0,REPLACE(J179,16,3,A4),"")</f>
        <v/>
      </c>
    </row>
    <row r="180" spans="10:11" x14ac:dyDescent="0.25">
      <c r="J180" t="s">
        <v>299</v>
      </c>
      <c r="K180" t="str">
        <f>IF(A5&gt;0,REPLACE(J180,16,3,A5),"")</f>
        <v/>
      </c>
    </row>
    <row r="181" spans="10:11" x14ac:dyDescent="0.25">
      <c r="J181" t="s">
        <v>300</v>
      </c>
      <c r="K181" t="str">
        <f>IF(A6&gt;0,REPLACE(J181,16,3,A6),"")</f>
        <v/>
      </c>
    </row>
    <row r="182" spans="10:11" x14ac:dyDescent="0.25">
      <c r="J182" t="s">
        <v>301</v>
      </c>
      <c r="K182" t="str">
        <f>IF(A7&gt;0,REPLACE(J182,16,3,A7),"")</f>
        <v/>
      </c>
    </row>
    <row r="183" spans="10:11" x14ac:dyDescent="0.25">
      <c r="J183" t="s">
        <v>302</v>
      </c>
      <c r="K183" t="str">
        <f>IF(A8&gt;0,REPLACE(J183,16,3,A8),"")</f>
        <v/>
      </c>
    </row>
    <row r="184" spans="10:11" x14ac:dyDescent="0.25">
      <c r="J184" t="s">
        <v>303</v>
      </c>
      <c r="K184" t="str">
        <f>IF(A9&gt;0,REPLACE(J184,16,3,A9),"")</f>
        <v/>
      </c>
    </row>
    <row r="185" spans="10:11" x14ac:dyDescent="0.25">
      <c r="J185" t="s">
        <v>304</v>
      </c>
      <c r="K185" t="str">
        <f>IF(A10&gt;0,REPLACE(J185,16,3,A10),"")</f>
        <v/>
      </c>
    </row>
    <row r="186" spans="10:11" x14ac:dyDescent="0.25">
      <c r="J186" t="s">
        <v>305</v>
      </c>
      <c r="K186" t="str">
        <f>IF(A11&gt;0,REPLACE(J186,16,3,A11),"")</f>
        <v/>
      </c>
    </row>
    <row r="187" spans="10:11" x14ac:dyDescent="0.25">
      <c r="J187" t="s">
        <v>306</v>
      </c>
      <c r="K187" t="str">
        <f>IF(A12&gt;0,REPLACE(J187,16,3,A12),"")</f>
        <v/>
      </c>
    </row>
    <row r="188" spans="10:11" x14ac:dyDescent="0.25">
      <c r="J188" t="s">
        <v>307</v>
      </c>
      <c r="K188" t="str">
        <f>IF(A13&gt;0,REPLACE(J188,17,4,A13),"")</f>
        <v/>
      </c>
    </row>
    <row r="189" spans="10:11" x14ac:dyDescent="0.25">
      <c r="J189" t="s">
        <v>308</v>
      </c>
      <c r="K189" t="str">
        <f>IF(A14&gt;0,REPLACE(J189,17,4,A14),"")</f>
        <v/>
      </c>
    </row>
    <row r="190" spans="10:11" x14ac:dyDescent="0.25">
      <c r="J190" t="s">
        <v>309</v>
      </c>
      <c r="K190" t="str">
        <f>IF(A15&gt;0,REPLACE(J190,17,4,A15),"")</f>
        <v/>
      </c>
    </row>
    <row r="191" spans="10:11" x14ac:dyDescent="0.25">
      <c r="J191" t="s">
        <v>310</v>
      </c>
      <c r="K191" t="str">
        <f>IF(A16&gt;0,REPLACE(J191,17,4,A16),"")</f>
        <v/>
      </c>
    </row>
    <row r="192" spans="10:11" x14ac:dyDescent="0.25">
      <c r="J192" t="s">
        <v>311</v>
      </c>
      <c r="K192" t="str">
        <f>IF(A17&gt;0,REPLACE(J192,17,4,A17),"")</f>
        <v/>
      </c>
    </row>
    <row r="193" spans="10:11" x14ac:dyDescent="0.25">
      <c r="J193" t="s">
        <v>312</v>
      </c>
      <c r="K193" t="str">
        <f>IF(A18&gt;0,REPLACE(J193,17,4,A18),"")</f>
        <v/>
      </c>
    </row>
    <row r="194" spans="10:11" x14ac:dyDescent="0.25">
      <c r="J194" t="s">
        <v>2597</v>
      </c>
      <c r="K194" t="str">
        <f>REPLACE(IF(B2&gt;0,REPLACE(J194,54,8,B2),""),21,3,I2)</f>
        <v>&lt;em&gt;5.3.2.2. Canada ABC Market Size and Forecast, by BB (2024-2032)&lt;/em&gt;</v>
      </c>
    </row>
    <row r="195" spans="10:11" x14ac:dyDescent="0.25">
      <c r="J195" t="s">
        <v>313</v>
      </c>
      <c r="K195" t="str">
        <f>IF(B4&gt;0,REPLACE(J195,16,3,B4),"")</f>
        <v/>
      </c>
    </row>
    <row r="196" spans="10:11" x14ac:dyDescent="0.25">
      <c r="J196" t="s">
        <v>314</v>
      </c>
      <c r="K196" t="str">
        <f>IF(B5&gt;0,REPLACE(J196,16,3,B5),"")</f>
        <v/>
      </c>
    </row>
    <row r="197" spans="10:11" x14ac:dyDescent="0.25">
      <c r="J197" t="s">
        <v>315</v>
      </c>
      <c r="K197" t="str">
        <f>IF(B6&gt;0,REPLACE(J197,16,3,B6),"")</f>
        <v/>
      </c>
    </row>
    <row r="198" spans="10:11" x14ac:dyDescent="0.25">
      <c r="J198" t="s">
        <v>316</v>
      </c>
      <c r="K198" t="str">
        <f>IF(B7&gt;0,REPLACE(J198,16,3,B7),"")</f>
        <v/>
      </c>
    </row>
    <row r="199" spans="10:11" x14ac:dyDescent="0.25">
      <c r="J199" t="s">
        <v>317</v>
      </c>
      <c r="K199" t="str">
        <f>IF(B8&gt;0,REPLACE(J199,16,3,B8),"")</f>
        <v/>
      </c>
    </row>
    <row r="200" spans="10:11" x14ac:dyDescent="0.25">
      <c r="J200" t="s">
        <v>318</v>
      </c>
      <c r="K200" t="str">
        <f>IF(B9&gt;0,REPLACE(J200,16,3,B9),"")</f>
        <v/>
      </c>
    </row>
    <row r="201" spans="10:11" x14ac:dyDescent="0.25">
      <c r="J201" t="s">
        <v>319</v>
      </c>
      <c r="K201" t="str">
        <f>IF(B10&gt;0,REPLACE(J201,16,3,B10),"")</f>
        <v/>
      </c>
    </row>
    <row r="202" spans="10:11" x14ac:dyDescent="0.25">
      <c r="J202" t="s">
        <v>320</v>
      </c>
      <c r="K202" t="str">
        <f>IF(B11&gt;0,REPLACE(J202,16,3,B11),"")</f>
        <v/>
      </c>
    </row>
    <row r="203" spans="10:11" x14ac:dyDescent="0.25">
      <c r="J203" t="s">
        <v>321</v>
      </c>
      <c r="K203" t="str">
        <f>IF(B12&gt;0,REPLACE(J203,16,3,B12),"")</f>
        <v/>
      </c>
    </row>
    <row r="204" spans="10:11" x14ac:dyDescent="0.25">
      <c r="J204" t="s">
        <v>322</v>
      </c>
      <c r="K204" t="str">
        <f>IF(B13&gt;0,REPLACE(J204,17,4,B13),"")</f>
        <v/>
      </c>
    </row>
    <row r="205" spans="10:11" x14ac:dyDescent="0.25">
      <c r="J205" t="s">
        <v>323</v>
      </c>
      <c r="K205" t="str">
        <f>IF(B14&gt;0,REPLACE(J205,17,4,B14),"")</f>
        <v/>
      </c>
    </row>
    <row r="206" spans="10:11" x14ac:dyDescent="0.25">
      <c r="J206" t="s">
        <v>324</v>
      </c>
      <c r="K206" t="str">
        <f>IF(B15&gt;0,REPLACE(J206,17,4,B15),"")</f>
        <v/>
      </c>
    </row>
    <row r="207" spans="10:11" x14ac:dyDescent="0.25">
      <c r="J207" t="s">
        <v>325</v>
      </c>
      <c r="K207" t="str">
        <f>IF(B16&gt;0,REPLACE(J207,17,4,B16),"")</f>
        <v/>
      </c>
    </row>
    <row r="208" spans="10:11" x14ac:dyDescent="0.25">
      <c r="J208" t="s">
        <v>326</v>
      </c>
      <c r="K208" t="str">
        <f>IF(B17&gt;0,REPLACE(J208,17,4,B17),"")</f>
        <v/>
      </c>
    </row>
    <row r="209" spans="10:11" x14ac:dyDescent="0.25">
      <c r="J209" t="s">
        <v>327</v>
      </c>
      <c r="K209" t="str">
        <f>IF(B18&gt;0,REPLACE(J209,17,4,B18),"")</f>
        <v/>
      </c>
    </row>
    <row r="210" spans="10:11" x14ac:dyDescent="0.25">
      <c r="J210" t="s">
        <v>328</v>
      </c>
      <c r="K210" t="str">
        <f>J210</f>
        <v>&lt;strong&gt;&lt;em&gt;5.3.3. Mexico&lt;/em&gt;&lt;/strong&gt;</v>
      </c>
    </row>
    <row r="211" spans="10:11" x14ac:dyDescent="0.25">
      <c r="J211" t="s">
        <v>2598</v>
      </c>
      <c r="K211" t="str">
        <f>REPLACE(IF(A2&gt;0,REPLACE(J211,54,8,A2),""),21,3,I2)</f>
        <v>&lt;em&gt;5.3.3.1. Mexico ABC Market Size and Forecast, by AA (2024-2032)&lt;/em&gt;</v>
      </c>
    </row>
    <row r="212" spans="10:11" x14ac:dyDescent="0.25">
      <c r="J212" t="s">
        <v>329</v>
      </c>
      <c r="K212" t="str">
        <f>IF(A4&gt;0,REPLACE(J212,16,3,A4),"")</f>
        <v/>
      </c>
    </row>
    <row r="213" spans="10:11" x14ac:dyDescent="0.25">
      <c r="J213" t="s">
        <v>330</v>
      </c>
      <c r="K213" t="str">
        <f>IF(A5&gt;0,REPLACE(J213,16,3,A5),"")</f>
        <v/>
      </c>
    </row>
    <row r="214" spans="10:11" x14ac:dyDescent="0.25">
      <c r="J214" t="s">
        <v>331</v>
      </c>
      <c r="K214" t="str">
        <f>IF(A6&gt;0,REPLACE(J214,16,3,A6),"")</f>
        <v/>
      </c>
    </row>
    <row r="215" spans="10:11" x14ac:dyDescent="0.25">
      <c r="J215" t="s">
        <v>332</v>
      </c>
      <c r="K215" t="str">
        <f>IF(A7&gt;0,REPLACE(J215,16,3,A7),"")</f>
        <v/>
      </c>
    </row>
    <row r="216" spans="10:11" x14ac:dyDescent="0.25">
      <c r="J216" t="s">
        <v>333</v>
      </c>
      <c r="K216" t="str">
        <f>IF(A8&gt;0,REPLACE(J216,16,3,A8),"")</f>
        <v/>
      </c>
    </row>
    <row r="217" spans="10:11" x14ac:dyDescent="0.25">
      <c r="J217" t="s">
        <v>334</v>
      </c>
      <c r="K217" t="str">
        <f>IF(A9&gt;0,REPLACE(J217,16,3,A9),"")</f>
        <v/>
      </c>
    </row>
    <row r="218" spans="10:11" x14ac:dyDescent="0.25">
      <c r="J218" t="s">
        <v>335</v>
      </c>
      <c r="K218" t="str">
        <f>IF(A10&gt;0,REPLACE(J218,16,3,A10),"")</f>
        <v/>
      </c>
    </row>
    <row r="219" spans="10:11" x14ac:dyDescent="0.25">
      <c r="J219" t="s">
        <v>336</v>
      </c>
      <c r="K219" t="str">
        <f>IF(A11&gt;0,REPLACE(J219,16,3,A11),"")</f>
        <v/>
      </c>
    </row>
    <row r="220" spans="10:11" x14ac:dyDescent="0.25">
      <c r="J220" t="s">
        <v>337</v>
      </c>
      <c r="K220" t="str">
        <f>IF(A12&gt;0,REPLACE(J220,16,3,A12),"")</f>
        <v/>
      </c>
    </row>
    <row r="221" spans="10:11" x14ac:dyDescent="0.25">
      <c r="J221" t="s">
        <v>338</v>
      </c>
      <c r="K221" t="str">
        <f>IF(A13&gt;0,REPLACE(J221,17,4,A13),"")</f>
        <v/>
      </c>
    </row>
    <row r="222" spans="10:11" x14ac:dyDescent="0.25">
      <c r="J222" t="s">
        <v>339</v>
      </c>
      <c r="K222" t="str">
        <f>IF(A14&gt;0,REPLACE(J222,17,4,A14),"")</f>
        <v/>
      </c>
    </row>
    <row r="223" spans="10:11" x14ac:dyDescent="0.25">
      <c r="J223" t="s">
        <v>340</v>
      </c>
      <c r="K223" t="str">
        <f>IF(A15&gt;0,REPLACE(J223,17,4,A15),"")</f>
        <v/>
      </c>
    </row>
    <row r="224" spans="10:11" x14ac:dyDescent="0.25">
      <c r="J224" t="s">
        <v>341</v>
      </c>
      <c r="K224" t="str">
        <f>IF(A16&gt;0,REPLACE(J224,17,4,A16),"")</f>
        <v/>
      </c>
    </row>
    <row r="225" spans="10:11" x14ac:dyDescent="0.25">
      <c r="J225" t="s">
        <v>342</v>
      </c>
      <c r="K225" t="str">
        <f>IF(A17&gt;0,REPLACE(J225,17,4,A17),"")</f>
        <v/>
      </c>
    </row>
    <row r="226" spans="10:11" x14ac:dyDescent="0.25">
      <c r="J226" t="s">
        <v>343</v>
      </c>
      <c r="K226" t="str">
        <f>IF(A18&gt;0,REPLACE(J226,17,4,A18),"")</f>
        <v/>
      </c>
    </row>
    <row r="227" spans="10:11" x14ac:dyDescent="0.25">
      <c r="J227" t="s">
        <v>2599</v>
      </c>
      <c r="K227" t="str">
        <f>REPLACE(IF(B2&gt;0,REPLACE(J227,54,8,B2),""),21,3,I2)</f>
        <v>&lt;em&gt;5.3.3.2. Mexico ABC Market Size and Forecast, by BB (2024-2032)&lt;/em&gt;</v>
      </c>
    </row>
    <row r="228" spans="10:11" x14ac:dyDescent="0.25">
      <c r="J228" t="s">
        <v>344</v>
      </c>
      <c r="K228" t="str">
        <f>IF(B4&gt;0,REPLACE(J228,16,3,B4),"")</f>
        <v/>
      </c>
    </row>
    <row r="229" spans="10:11" x14ac:dyDescent="0.25">
      <c r="J229" t="s">
        <v>345</v>
      </c>
      <c r="K229" t="str">
        <f>IF(B5&gt;0,REPLACE(J229,16,3,B5),"")</f>
        <v/>
      </c>
    </row>
    <row r="230" spans="10:11" x14ac:dyDescent="0.25">
      <c r="J230" t="s">
        <v>346</v>
      </c>
      <c r="K230" t="str">
        <f>IF(B6&gt;0,REPLACE(J230,16,3,B6),"")</f>
        <v/>
      </c>
    </row>
    <row r="231" spans="10:11" x14ac:dyDescent="0.25">
      <c r="J231" t="s">
        <v>347</v>
      </c>
      <c r="K231" t="str">
        <f>IF(B7&gt;0,REPLACE(J231,16,3,B7),"")</f>
        <v/>
      </c>
    </row>
    <row r="232" spans="10:11" x14ac:dyDescent="0.25">
      <c r="J232" t="s">
        <v>348</v>
      </c>
      <c r="K232" t="str">
        <f>IF(B8&gt;0,REPLACE(J232,16,3,B8),"")</f>
        <v/>
      </c>
    </row>
    <row r="233" spans="10:11" x14ac:dyDescent="0.25">
      <c r="J233" t="s">
        <v>349</v>
      </c>
      <c r="K233" t="str">
        <f>IF(B9&gt;0,REPLACE(J233,16,3,B9),"")</f>
        <v/>
      </c>
    </row>
    <row r="234" spans="10:11" x14ac:dyDescent="0.25">
      <c r="J234" t="s">
        <v>350</v>
      </c>
      <c r="K234" t="str">
        <f>IF(B10&gt;0,REPLACE(J234,16,3,B10),"")</f>
        <v/>
      </c>
    </row>
    <row r="235" spans="10:11" x14ac:dyDescent="0.25">
      <c r="J235" t="s">
        <v>351</v>
      </c>
      <c r="K235" t="str">
        <f>IF(B11&gt;0,REPLACE(J235,16,3,B11),"")</f>
        <v/>
      </c>
    </row>
    <row r="236" spans="10:11" x14ac:dyDescent="0.25">
      <c r="J236" t="s">
        <v>352</v>
      </c>
      <c r="K236" t="str">
        <f>IF(B12&gt;0,REPLACE(J236,16,3,B12),"")</f>
        <v/>
      </c>
    </row>
    <row r="237" spans="10:11" x14ac:dyDescent="0.25">
      <c r="J237" t="s">
        <v>353</v>
      </c>
      <c r="K237" t="str">
        <f>IF(B13&gt;0,REPLACE(J237,17,4,B13),"")</f>
        <v/>
      </c>
    </row>
    <row r="238" spans="10:11" x14ac:dyDescent="0.25">
      <c r="J238" t="s">
        <v>354</v>
      </c>
      <c r="K238" t="str">
        <f>IF(B14&gt;0,REPLACE(J238,17,4,B14),"")</f>
        <v/>
      </c>
    </row>
    <row r="239" spans="10:11" x14ac:dyDescent="0.25">
      <c r="J239" t="s">
        <v>355</v>
      </c>
      <c r="K239" t="str">
        <f>IF(B15&gt;0,REPLACE(J239,17,4,B15),"")</f>
        <v/>
      </c>
    </row>
    <row r="240" spans="10:11" x14ac:dyDescent="0.25">
      <c r="J240" t="s">
        <v>356</v>
      </c>
      <c r="K240" t="str">
        <f>IF(B16&gt;0,REPLACE(J240,17,4,B16),"")</f>
        <v/>
      </c>
    </row>
    <row r="241" spans="10:11" x14ac:dyDescent="0.25">
      <c r="J241" t="s">
        <v>357</v>
      </c>
      <c r="K241" t="str">
        <f>IF(B17&gt;0,REPLACE(J241,17,4,B17),"")</f>
        <v/>
      </c>
    </row>
    <row r="242" spans="10:11" x14ac:dyDescent="0.25">
      <c r="J242" t="s">
        <v>358</v>
      </c>
      <c r="K242" t="str">
        <f>IF(B18&gt;0,REPLACE(J242,17,4,B18),"")</f>
        <v/>
      </c>
    </row>
    <row r="244" spans="10:11" x14ac:dyDescent="0.25">
      <c r="J244" t="s">
        <v>857</v>
      </c>
      <c r="K244" t="str">
        <f>REPLACE(J244,FIND("ABC",J244,1),3,$I$2)</f>
        <v>&lt;strong&gt;6. Europe ABC Market Size and Forecast by Segmentation (by Value in USD Million) 2024-2032&lt;/strong&gt;</v>
      </c>
    </row>
    <row r="245" spans="10:11" x14ac:dyDescent="0.25">
      <c r="J245" t="s">
        <v>858</v>
      </c>
      <c r="K245" t="str">
        <f>REPLACE((IF(A2&gt;0,REPLACE(J245,46,8,A2),"")),13,3,I2)</f>
        <v>6.1. Europe ABC Market Size and Forecast, by AA (2024-2032)</v>
      </c>
    </row>
    <row r="246" spans="10:11" x14ac:dyDescent="0.25">
      <c r="J246" t="s">
        <v>859</v>
      </c>
      <c r="K246" t="str">
        <f>REPLACE((IF(B2&gt;0,REPLACE(J246,46,8,B2),"")),13,3,I2)</f>
        <v>6.2. Europe ABC Market Size and Forecast, by BB (2024-2032)</v>
      </c>
    </row>
    <row r="247" spans="10:11" x14ac:dyDescent="0.25">
      <c r="J247" t="s">
        <v>2576</v>
      </c>
      <c r="K247" t="str">
        <f>REPLACE(J247,FIND("ABC",J247,1),3,$I$2)</f>
        <v>6.3. Europe ABC Market Size and Forecast, by Country (2024-2032)</v>
      </c>
    </row>
    <row r="248" spans="10:11" x14ac:dyDescent="0.25">
      <c r="J248" t="s">
        <v>359</v>
      </c>
      <c r="K248" t="str">
        <f>J248</f>
        <v>&lt;strong&gt;&lt;em&gt;6.3.1. United Kingdom&lt;/em&gt;&lt;/strong&gt;</v>
      </c>
    </row>
    <row r="249" spans="10:11" x14ac:dyDescent="0.25">
      <c r="J249" t="s">
        <v>2577</v>
      </c>
      <c r="K249" t="str">
        <f>REPLACE(IF(A2&gt;0,REPLACE(J249,62,8,A2),""),FIND("ABC",J249,1),3,$I$2)</f>
        <v>&lt;em&gt;6.3.1.1. United Kingdom ABC Market Size and Forecast, by AA (2024-2032)&lt;/em&gt;</v>
      </c>
    </row>
    <row r="250" spans="10:11" x14ac:dyDescent="0.25">
      <c r="J250" t="s">
        <v>2578</v>
      </c>
      <c r="K250" t="str">
        <f>REPLACE(IF(B2&gt;0,REPLACE(J250,62,8,B2),""),FIND("ABC",J250,1),3,$I$2)</f>
        <v>&lt;em&gt;6.3.1.2. United Kingdom ABC Market Size and Forecast, by BB (2024-2032)&lt;/em&gt;</v>
      </c>
    </row>
    <row r="251" spans="10:11" x14ac:dyDescent="0.25">
      <c r="J251" t="s">
        <v>360</v>
      </c>
      <c r="K251" t="str">
        <f>J251</f>
        <v>&lt;strong&gt;&lt;em&gt;6.3.2. France&lt;/em&gt;&lt;/strong&gt;</v>
      </c>
    </row>
    <row r="252" spans="10:11" x14ac:dyDescent="0.25">
      <c r="J252" t="s">
        <v>2579</v>
      </c>
      <c r="K252" t="str">
        <f>REPLACE(IF(A2&gt;0,REPLACE(J252,54,8,A2),""),FIND("ABC",J252,1),3,$I$2)</f>
        <v>&lt;em&gt;6.3.2.1. France ABC Market Size and Forecast, by AA (2024-2032)&lt;/em&gt;</v>
      </c>
    </row>
    <row r="253" spans="10:11" x14ac:dyDescent="0.25">
      <c r="J253" t="s">
        <v>2580</v>
      </c>
      <c r="K253" t="str">
        <f>REPLACE(IF(B2&gt;0,REPLACE(J253,54,8,B2),""),FIND("ABC",J253,1),3,$I$2)</f>
        <v>&lt;em&gt;6.3.2.2. France ABC Market Size and Forecast, by BB (2024-2032)&lt;/em&gt;</v>
      </c>
    </row>
    <row r="254" spans="10:11" x14ac:dyDescent="0.25">
      <c r="J254" t="s">
        <v>361</v>
      </c>
      <c r="K254" t="str">
        <f>J254</f>
        <v>&lt;strong&gt;&lt;em&gt;6.3.3. Germany&lt;/em&gt;&lt;/strong&gt;</v>
      </c>
    </row>
    <row r="255" spans="10:11" x14ac:dyDescent="0.25">
      <c r="J255" t="s">
        <v>2581</v>
      </c>
      <c r="K255" t="str">
        <f>REPLACE(IF(A2&gt;0,REPLACE(J255,55,8,A2),""),FIND("ABC",J255,1),3,$I$2)</f>
        <v>&lt;em&gt;6.3.3.1. Germany ABC Market Size and Forecast, by AA (2024-2032)&lt;/em&gt;</v>
      </c>
    </row>
    <row r="256" spans="10:11" x14ac:dyDescent="0.25">
      <c r="J256" t="s">
        <v>2582</v>
      </c>
      <c r="K256" t="str">
        <f>REPLACE(IF(B2&gt;0,REPLACE(J256,55,8,B2),""),FIND("ABC",J256,1),3,$I$2)</f>
        <v>&lt;em&gt;6.3.3.2. Germany ABC Market Size and Forecast, by BB (2024-2032)&lt;/em&gt;</v>
      </c>
    </row>
    <row r="257" spans="10:11" x14ac:dyDescent="0.25">
      <c r="J257" t="s">
        <v>362</v>
      </c>
      <c r="K257" t="str">
        <f>J257</f>
        <v>&lt;strong&gt;&lt;em&gt;6.3.4. Italy&lt;/em&gt;&lt;/strong&gt;</v>
      </c>
    </row>
    <row r="258" spans="10:11" x14ac:dyDescent="0.25">
      <c r="J258" t="s">
        <v>2583</v>
      </c>
      <c r="K258" t="str">
        <f>REPLACE(IF(A2&gt;0,REPLACE(J258,53,8,A2),""),FIND("ABC",J258,1),3,$I$2)</f>
        <v>&lt;em&gt;6.3.4.1. Italy ABC Market Size and Forecast, by AA (2024-2032)&lt;/em&gt;</v>
      </c>
    </row>
    <row r="259" spans="10:11" x14ac:dyDescent="0.25">
      <c r="J259" t="s">
        <v>2584</v>
      </c>
      <c r="K259" t="str">
        <f>REPLACE(IF(B2&gt;0,REPLACE(J259,53,8,B2),""),FIND("ABC",J259,1),3,$I$2)</f>
        <v>&lt;em&gt;6.3.4.2. Italy ABC Market Size and Forecast, by BB (2024-2032)&lt;/em&gt;</v>
      </c>
    </row>
    <row r="260" spans="10:11" x14ac:dyDescent="0.25">
      <c r="J260" t="s">
        <v>363</v>
      </c>
      <c r="K260" t="str">
        <f>J260</f>
        <v>&lt;strong&gt;&lt;em&gt;6.3.5. Spain&lt;/em&gt;&lt;/strong&gt;</v>
      </c>
    </row>
    <row r="261" spans="10:11" x14ac:dyDescent="0.25">
      <c r="J261" t="s">
        <v>2585</v>
      </c>
      <c r="K261" t="str">
        <f>REPLACE(IF(A2&gt;0,REPLACE(J261,53,8,A2),""),FIND("ABC",J261,1),3,$I$2)</f>
        <v>&lt;em&gt;6.3.5.1. Spain ABC Market Size and Forecast, by AA (2024-2032)&lt;/em&gt;</v>
      </c>
    </row>
    <row r="262" spans="10:11" x14ac:dyDescent="0.25">
      <c r="J262" t="s">
        <v>2586</v>
      </c>
      <c r="K262" t="str">
        <f>REPLACE(IF(B2&gt;0,REPLACE(J262,53,8,B2),""),FIND("ABC",J262,1),3,$I$2)</f>
        <v>&lt;em&gt;6.3.5.2. Spain ABC Market Size and Forecast, by BB (2024-2032)&lt;/em&gt;</v>
      </c>
    </row>
    <row r="263" spans="10:11" x14ac:dyDescent="0.25">
      <c r="J263" t="s">
        <v>364</v>
      </c>
      <c r="K263" t="str">
        <f>J263</f>
        <v>&lt;strong&gt;&lt;em&gt;6.3.6. Sweden&lt;/em&gt;&lt;/strong&gt;</v>
      </c>
    </row>
    <row r="264" spans="10:11" x14ac:dyDescent="0.25">
      <c r="J264" t="s">
        <v>2587</v>
      </c>
      <c r="K264" t="str">
        <f>REPLACE(IF(A2&gt;0,REPLACE(J264,54,8,A2),""),FIND("ABC",J264,1),3,$I$2)</f>
        <v>&lt;em&gt;6.3.6.1. Sweden ABC Market Size and Forecast, by AA (2024-2032)&lt;/em&gt;</v>
      </c>
    </row>
    <row r="265" spans="10:11" x14ac:dyDescent="0.25">
      <c r="J265" t="s">
        <v>2588</v>
      </c>
      <c r="K265" t="str">
        <f>REPLACE(IF(B2&gt;0,REPLACE(J265,54,8,B2),""),FIND("ABC",J265,1),3,$I$2)</f>
        <v>&lt;em&gt;6.3.6.2. Sweden ABC Market Size and Forecast, by BB (2024-2032)&lt;/em&gt;</v>
      </c>
    </row>
    <row r="266" spans="10:11" x14ac:dyDescent="0.25">
      <c r="J266" t="s">
        <v>365</v>
      </c>
      <c r="K266" t="str">
        <f>J266</f>
        <v>&lt;strong&gt;&lt;em&gt;6.3.7. Austria&lt;/em&gt;&lt;/strong&gt;</v>
      </c>
    </row>
    <row r="267" spans="10:11" x14ac:dyDescent="0.25">
      <c r="J267" t="s">
        <v>2589</v>
      </c>
      <c r="K267" t="str">
        <f>REPLACE(IF(A2&gt;0,REPLACE(J267,55,8,A2),""),FIND("ABC",J267,1),3,$I$2)</f>
        <v>&lt;em&gt;6.3.7.1. Austria ABC Market Size and Forecast, by AA (2024-2032)&lt;/em&gt;</v>
      </c>
    </row>
    <row r="268" spans="10:11" x14ac:dyDescent="0.25">
      <c r="J268" t="s">
        <v>2590</v>
      </c>
      <c r="K268" t="str">
        <f>REPLACE(IF(B2&gt;0,REPLACE(J268,55,8,B2),""),FIND("ABC",J268,1),3,$I$2)</f>
        <v>&lt;em&gt;6.3.7.2. Austria ABC Market Size and Forecast, by BB (2024-2032)&lt;/em&gt;</v>
      </c>
    </row>
    <row r="269" spans="10:11" x14ac:dyDescent="0.25">
      <c r="J269" t="s">
        <v>366</v>
      </c>
      <c r="K269" t="str">
        <f>J269</f>
        <v>&lt;strong&gt;&lt;em&gt;6.3.8. Rest of Europe&lt;/em&gt;&lt;/strong&gt;</v>
      </c>
    </row>
    <row r="270" spans="10:11" x14ac:dyDescent="0.25">
      <c r="J270" t="s">
        <v>2591</v>
      </c>
      <c r="K270" t="str">
        <f>REPLACE(IF(A2&gt;0,REPLACE(J270,62,8,A2),""),FIND("ABC",J270,1),3,$I$2)</f>
        <v>&lt;em&gt;6.3.8.1. Rest of Europe ABC Market Size and Forecast, by AA (2024-2032)&lt;/em&gt;</v>
      </c>
    </row>
    <row r="271" spans="10:11" x14ac:dyDescent="0.25">
      <c r="J271" t="s">
        <v>2592</v>
      </c>
      <c r="K271" t="str">
        <f>REPLACE(IF(B2&gt;0,REPLACE(J271,62,8,B2),""),FIND("ABC",J271,1),3,$I$2)</f>
        <v>&lt;em&gt;6.3.8.2. Rest of Europe ABC Market Size and Forecast, by BB (2024-2032)&lt;/em&gt;</v>
      </c>
    </row>
    <row r="273" spans="10:11" x14ac:dyDescent="0.25">
      <c r="J273" t="s">
        <v>922</v>
      </c>
      <c r="K273" t="str">
        <f>REPLACE(J273,FIND("ABC",J273,1),3,$I$2)</f>
        <v>&lt;strong&gt;7. Asia Pacific ABC Market Size and Forecast by Segmentation (by Value in USD Million) 2024-2032&lt;/strong&gt;</v>
      </c>
    </row>
    <row r="274" spans="10:11" x14ac:dyDescent="0.25">
      <c r="J274" t="s">
        <v>923</v>
      </c>
      <c r="K274" t="str">
        <f>REPLACE(IF(A2&gt;0,REPLACE(J274,52,8,A2),""),FIND("ABC",J274,1),3,$I$2)</f>
        <v>7.1. Asia Pacific ABC Market Size and Forecast, by AA (2024-2032)</v>
      </c>
    </row>
    <row r="275" spans="10:11" x14ac:dyDescent="0.25">
      <c r="J275" t="s">
        <v>924</v>
      </c>
      <c r="K275" t="str">
        <f>REPLACE(IF(B2&gt;0,REPLACE(J275,52,8,B2),""),FIND("ABC",J275,1),3,$I$2)</f>
        <v>7.2. Asia Pacific ABC Market Size and Forecast, by BB (2024-2032)</v>
      </c>
    </row>
    <row r="276" spans="10:11" x14ac:dyDescent="0.25">
      <c r="J276" t="s">
        <v>2555</v>
      </c>
      <c r="K276" t="str">
        <f>REPLACE(J276,FIND("ABC",J276,1),3,I2)</f>
        <v>7.3. Asia Pacific ABC Market Size and Forecast, by Country (2024-2032)</v>
      </c>
    </row>
    <row r="277" spans="10:11" x14ac:dyDescent="0.25">
      <c r="J277" t="s">
        <v>367</v>
      </c>
      <c r="K277" t="str">
        <f>J277</f>
        <v>&lt;strong&gt;&lt;em&gt;7.3.1. China&lt;/em&gt;&lt;/strong&gt;</v>
      </c>
    </row>
    <row r="278" spans="10:11" x14ac:dyDescent="0.25">
      <c r="J278" t="s">
        <v>2556</v>
      </c>
      <c r="K278" t="str">
        <f>REPLACE(IF(A2&gt;0,REPLACE(J278,53,8,A2),""),FIND("ABC",J278,1),3,$I$2)</f>
        <v>&lt;em&gt;7.3.1.1. China ABC Market Size and Forecast, by AA (2024-2032)&lt;/em&gt;</v>
      </c>
    </row>
    <row r="279" spans="10:11" x14ac:dyDescent="0.25">
      <c r="J279" t="s">
        <v>2557</v>
      </c>
      <c r="K279" t="str">
        <f>REPLACE(IF(B2&gt;0,REPLACE(J279,53,8,B2),""),FIND("ABC",J279,1),3,$I$2)</f>
        <v>&lt;em&gt;7.3.1.2. China ABC Market Size and Forecast, by BB (2024-2032)&lt;/em&gt;</v>
      </c>
    </row>
    <row r="280" spans="10:11" x14ac:dyDescent="0.25">
      <c r="J280" t="s">
        <v>368</v>
      </c>
      <c r="K280" t="str">
        <f>J280</f>
        <v>&lt;strong&gt;&lt;em&gt;7.3.2. S Korea&lt;/em&gt;&lt;/strong&gt;</v>
      </c>
    </row>
    <row r="281" spans="10:11" x14ac:dyDescent="0.25">
      <c r="J281" t="s">
        <v>2558</v>
      </c>
      <c r="K281" t="str">
        <f>REPLACE(IF(A2&gt;0,REPLACE(J281,55,8,A2),""),FIND("ABC",J281,1),3,$I$2)</f>
        <v>&lt;em&gt;7.3.2.1. S Korea ABC Market Size and Forecast, by AA (2024-2032)&lt;/em&gt;</v>
      </c>
    </row>
    <row r="282" spans="10:11" x14ac:dyDescent="0.25">
      <c r="J282" t="s">
        <v>2559</v>
      </c>
      <c r="K282" t="str">
        <f>REPLACE(IF(B2&gt;0,REPLACE(J282,55,8,B2),""),FIND("ABC",J282,1),3,$I$2)</f>
        <v>&lt;em&gt;7.3.2.2. S Korea ABC Market Size and Forecast, by BB (2024-2032)&lt;/em&gt;</v>
      </c>
    </row>
    <row r="283" spans="10:11" x14ac:dyDescent="0.25">
      <c r="J283" t="s">
        <v>369</v>
      </c>
      <c r="K283" t="str">
        <f>J283</f>
        <v>&lt;strong&gt;&lt;em&gt;7.3.3. Japan&lt;/em&gt;&lt;/strong&gt;</v>
      </c>
    </row>
    <row r="284" spans="10:11" x14ac:dyDescent="0.25">
      <c r="J284" t="s">
        <v>2560</v>
      </c>
      <c r="K284" t="str">
        <f>REPLACE(IF(A2&gt;0,REPLACE(J284,53,8,A2),""),FIND("ABC",J284,1),3,$I$2)</f>
        <v>&lt;em&gt;7.3.3.1. Japan ABC Market Size and Forecast, by AA (2024-2032)&lt;/em&gt;</v>
      </c>
    </row>
    <row r="285" spans="10:11" x14ac:dyDescent="0.25">
      <c r="J285" t="s">
        <v>2561</v>
      </c>
      <c r="K285" t="str">
        <f>REPLACE(IF(B2&gt;0,REPLACE(J285,53,8,B2),""),FIND("ABC",J285,1),3,$I$2)</f>
        <v>&lt;em&gt;7.3.3.2. Japan ABC Market Size and Forecast, by BB (2024-2032)&lt;/em&gt;</v>
      </c>
    </row>
    <row r="286" spans="10:11" x14ac:dyDescent="0.25">
      <c r="J286" t="s">
        <v>370</v>
      </c>
      <c r="K286" t="str">
        <f>J286</f>
        <v>&lt;strong&gt;&lt;em&gt;7.3.4. India&lt;/em&gt;&lt;/strong&gt;</v>
      </c>
    </row>
    <row r="287" spans="10:11" x14ac:dyDescent="0.25">
      <c r="J287" t="s">
        <v>2562</v>
      </c>
      <c r="K287" t="str">
        <f>REPLACE(IF(A2&gt;0,REPLACE(J287,53,8,A2),""),FIND("ABC",J287,1),3,$I$2)</f>
        <v>&lt;em&gt;7.3.4.1. India ABC Market Size and Forecast, by AA (2024-2032)&lt;/em&gt;</v>
      </c>
    </row>
    <row r="288" spans="10:11" x14ac:dyDescent="0.25">
      <c r="J288" t="s">
        <v>2563</v>
      </c>
      <c r="K288" t="str">
        <f>REPLACE(IF(B2&gt;0,REPLACE(J288,53,8,B2),""),FIND("ABC",J288,1),3,$I$2)</f>
        <v>&lt;em&gt;7.3.4.2. India ABC Market Size and Forecast, by BB (2024-2032)&lt;/em&gt;</v>
      </c>
    </row>
    <row r="289" spans="10:11" x14ac:dyDescent="0.25">
      <c r="J289" t="s">
        <v>371</v>
      </c>
      <c r="K289" t="str">
        <f>J289</f>
        <v>&lt;strong&gt;&lt;em&gt;7.3.5. Australia&lt;/em&gt;&lt;/strong&gt;</v>
      </c>
    </row>
    <row r="290" spans="10:11" x14ac:dyDescent="0.25">
      <c r="J290" t="s">
        <v>2564</v>
      </c>
      <c r="K290" t="str">
        <f>REPLACE(IF(A2&gt;0,REPLACE(J290,57,8,A2),""),FIND("ABC",J290,1),3,$I$2)</f>
        <v>&lt;em&gt;7.3.5.1. Australia ABC Market Size and Forecast, by AA (2024-2032)&lt;/em&gt;</v>
      </c>
    </row>
    <row r="291" spans="10:11" x14ac:dyDescent="0.25">
      <c r="J291" t="s">
        <v>2565</v>
      </c>
      <c r="K291" t="str">
        <f>REPLACE(IF(B2&gt;0,REPLACE(J291,57,8,B2),""),FIND("ABC",J291,1),3,$I$2)</f>
        <v>&lt;em&gt;7.3.5.2. Australia ABC Market Size and Forecast, by BB (2024-2032)&lt;/em&gt;</v>
      </c>
    </row>
    <row r="292" spans="10:11" x14ac:dyDescent="0.25">
      <c r="J292" t="s">
        <v>372</v>
      </c>
      <c r="K292" t="str">
        <f>J292</f>
        <v>&lt;strong&gt;&lt;em&gt;7.3.6. Indonesia&lt;/em&gt;&lt;/strong&gt;</v>
      </c>
    </row>
    <row r="293" spans="10:11" x14ac:dyDescent="0.25">
      <c r="J293" t="s">
        <v>2566</v>
      </c>
      <c r="K293" t="str">
        <f>REPLACE(IF(A2&gt;0,REPLACE(J293,57,8,A2),""),FIND("ABC",J293,1),3,$I$2)</f>
        <v>&lt;em&gt;7.3.6.1. Indonesia ABC Market Size and Forecast, by AA (2024-2032)&lt;/em&gt;</v>
      </c>
    </row>
    <row r="294" spans="10:11" x14ac:dyDescent="0.25">
      <c r="J294" t="s">
        <v>2567</v>
      </c>
      <c r="K294" t="str">
        <f>REPLACE(IF(B2&gt;0,REPLACE(J294,57,8,B2),""),FIND("ABC",J294,1),3,$I$2)</f>
        <v>&lt;em&gt;7.3.6.2. Indonesia ABC Market Size and Forecast, by BB (2024-2032)&lt;/em&gt;</v>
      </c>
    </row>
    <row r="295" spans="10:11" x14ac:dyDescent="0.25">
      <c r="J295" t="s">
        <v>373</v>
      </c>
      <c r="K295" t="str">
        <f>J295</f>
        <v>&lt;strong&gt;&lt;em&gt;7.3.7. Malaysia&lt;/em&gt;&lt;/strong&gt;</v>
      </c>
    </row>
    <row r="296" spans="10:11" x14ac:dyDescent="0.25">
      <c r="J296" t="s">
        <v>2568</v>
      </c>
      <c r="K296" t="str">
        <f>REPLACE(IF(A2&gt;0,REPLACE(J296,56,8,A2),""),FIND("ABC",J296,1),3,$I$2)</f>
        <v>&lt;em&gt;7.3.7.1. Malaysia ABC Market Size and Forecast, by AA (2024-2032)&lt;/em&gt;</v>
      </c>
    </row>
    <row r="297" spans="10:11" x14ac:dyDescent="0.25">
      <c r="J297" t="s">
        <v>2569</v>
      </c>
      <c r="K297" t="str">
        <f>REPLACE(IF(B2&gt;0,REPLACE(J297,56,8,B2),""),FIND("ABC",J297,1),3,$I$2)</f>
        <v>&lt;em&gt;7.3.7.2. Malaysia ABC Market Size and Forecast, by BB (2024-2032)&lt;/em&gt;</v>
      </c>
    </row>
    <row r="298" spans="10:11" x14ac:dyDescent="0.25">
      <c r="J298" t="s">
        <v>374</v>
      </c>
      <c r="K298" t="str">
        <f>J298</f>
        <v>&lt;strong&gt;&lt;em&gt;7.3.8. Vietnam&lt;/em&gt;&lt;/strong&gt;</v>
      </c>
    </row>
    <row r="299" spans="10:11" x14ac:dyDescent="0.25">
      <c r="J299" t="s">
        <v>2570</v>
      </c>
      <c r="K299" t="str">
        <f>REPLACE(IF(A2&gt;0,REPLACE(J299,55,8,A2),""),FIND("ABC",J299,1),3,$I$2)</f>
        <v>&lt;em&gt;7.3.8.1. Vietnam ABC Market Size and Forecast, by AA (2024-2032)&lt;/em&gt;</v>
      </c>
    </row>
    <row r="300" spans="10:11" x14ac:dyDescent="0.25">
      <c r="J300" t="s">
        <v>2571</v>
      </c>
      <c r="K300" t="str">
        <f>REPLACE(IF(B2&gt;0,REPLACE(J300,55,8,B2),""),FIND("ABC",J300,1),3,$I$2)</f>
        <v>&lt;em&gt;7.3.8.2. Vietnam ABC Market Size and Forecast, by BB (2024-2032)&lt;/em&gt;</v>
      </c>
    </row>
    <row r="301" spans="10:11" x14ac:dyDescent="0.25">
      <c r="J301" t="s">
        <v>375</v>
      </c>
      <c r="K301" t="str">
        <f>J301</f>
        <v>&lt;strong&gt;&lt;em&gt;7.3.9. Taiwan&lt;/em&gt;&lt;/strong&gt;</v>
      </c>
    </row>
    <row r="302" spans="10:11" x14ac:dyDescent="0.25">
      <c r="J302" t="s">
        <v>2572</v>
      </c>
      <c r="K302" t="str">
        <f>REPLACE(IF(A2&gt;0,REPLACE(J302,54,8,A2),""),FIND("ABC",J302,1),3,$I$2)</f>
        <v>&lt;em&gt;7.3.9.1. Taiwan ABC Market Size and Forecast, by AA (2024-2032)&lt;/em&gt;</v>
      </c>
    </row>
    <row r="303" spans="10:11" x14ac:dyDescent="0.25">
      <c r="J303" t="s">
        <v>2573</v>
      </c>
      <c r="K303" t="str">
        <f>REPLACE(IF(B2&gt;0,REPLACE(J303,54,8,B2),""),FIND("ABC",J303,1),3,$I$2)</f>
        <v>&lt;em&gt;7.3.9.2. Taiwan ABC Market Size and Forecast, by BB (2024-2032)&lt;/em&gt;</v>
      </c>
    </row>
    <row r="304" spans="10:11" x14ac:dyDescent="0.25">
      <c r="J304" t="s">
        <v>376</v>
      </c>
      <c r="K304" t="str">
        <f>J304</f>
        <v>&lt;strong&gt;&lt;em&gt;7.3.10. Rest of Asia Pacific&lt;/em&gt;&lt;/strong&gt;</v>
      </c>
    </row>
    <row r="305" spans="10:11" x14ac:dyDescent="0.25">
      <c r="J305" t="s">
        <v>2574</v>
      </c>
      <c r="K305" t="str">
        <f>REPLACE(IF(A2&gt;0,REPLACE(J305,69,8,A2),""),FIND("ABC",J305,1),3,$I$2)</f>
        <v>&lt;em&gt;7.3.10.1. Rest of Asia Pacific ABC Market Size and Forecast, by AA (2024-2032)&lt;/em&gt;</v>
      </c>
    </row>
    <row r="306" spans="10:11" x14ac:dyDescent="0.25">
      <c r="J306" t="s">
        <v>2575</v>
      </c>
      <c r="K306" t="str">
        <f>REPLACE(IF(B2&gt;0,REPLACE(J306,69,8,B2),""),FIND("ABC",J306,1),3,$I$2)</f>
        <v>&lt;em&gt;7.3.10.2. Rest of Asia Pacific ABC Market Size and Forecast, by BB (2024-2032)&lt;/em&gt;</v>
      </c>
    </row>
    <row r="308" spans="10:11" x14ac:dyDescent="0.25">
      <c r="J308" t="s">
        <v>1001</v>
      </c>
      <c r="K308" t="str">
        <f>REPLACE(J308,FIND("ABC",J308,1),3,I2)</f>
        <v>&lt;strong&gt;8. Middle East and Africa ABC Market Size and Forecast by Segmentation (by Value in USD Million) 2024-2032&lt;/strong&gt;</v>
      </c>
    </row>
    <row r="309" spans="10:11" x14ac:dyDescent="0.25">
      <c r="J309" t="s">
        <v>1002</v>
      </c>
      <c r="K309" t="str">
        <f>REPLACE(IF(A2&gt;0,REPLACE(J309,62,8,A2),""),FIND("ABC",J309,1),3,$I$2)</f>
        <v>8.1. Middle East and Africa ABC Market Size and Forecast, by AA (2024-2032)</v>
      </c>
    </row>
    <row r="310" spans="10:11" x14ac:dyDescent="0.25">
      <c r="J310" t="s">
        <v>1003</v>
      </c>
      <c r="K310" t="str">
        <f>REPLACE(IF(B2&gt;0,REPLACE(J310,62,8,B2),""),FIND("ABC",J310,1),3,$I$2)</f>
        <v>8.2. Middle East and Africa ABC Market Size and Forecast, by BB (2024-2032)</v>
      </c>
    </row>
    <row r="311" spans="10:11" x14ac:dyDescent="0.25">
      <c r="J311" t="s">
        <v>2545</v>
      </c>
      <c r="K311" t="str">
        <f>REPLACE(J311,FIND("ABC",J311,1),3,$I$2)</f>
        <v>8.3. Middle East and Africa ABC Market Size and Forecast, by Country (2024-2032)</v>
      </c>
    </row>
    <row r="312" spans="10:11" x14ac:dyDescent="0.25">
      <c r="J312" t="s">
        <v>377</v>
      </c>
      <c r="K312" t="str">
        <f>J312</f>
        <v>&lt;strong&gt;&lt;em&gt;8.3.1. South Africa&lt;/em&gt;&lt;/strong&gt;</v>
      </c>
    </row>
    <row r="313" spans="10:11" x14ac:dyDescent="0.25">
      <c r="J313" t="s">
        <v>2546</v>
      </c>
      <c r="K313" t="str">
        <f>REPLACE(IF(A2&gt;0,REPLACE(J313,60,8,A2),""),FIND("ABC",J313,1),3,$I$2)</f>
        <v>&lt;em&gt;8.3.1.1. South Africa ABC Market Size and Forecast, by AA (2024-2032)&lt;/em&gt;</v>
      </c>
    </row>
    <row r="314" spans="10:11" x14ac:dyDescent="0.25">
      <c r="J314" t="s">
        <v>2547</v>
      </c>
      <c r="K314" t="str">
        <f>REPLACE(IF(B2&gt;0,REPLACE(J314,60,8,B2),""),FIND("ABC",J314,1),3,$I$2)</f>
        <v>&lt;em&gt;8.3.1.2. South Africa ABC Market Size and Forecast, by BB (2024-2032)&lt;/em&gt;</v>
      </c>
    </row>
    <row r="315" spans="10:11" x14ac:dyDescent="0.25">
      <c r="J315" t="s">
        <v>378</v>
      </c>
      <c r="K315" t="str">
        <f>J315</f>
        <v>&lt;strong&gt;&lt;em&gt;8.3.2. GCC&lt;/em&gt;&lt;/strong&gt;</v>
      </c>
    </row>
    <row r="316" spans="10:11" x14ac:dyDescent="0.25">
      <c r="J316" t="s">
        <v>2548</v>
      </c>
      <c r="K316" t="str">
        <f>REPLACE(IF(A2&gt;0,REPLACE(J316,51,8,A2),""),FIND("ABC",J316,1),3,$I$2)</f>
        <v>&lt;em&gt;8.3.2.1. GCC ABC Market Size and Forecast, by AA (2024-2032)&lt;/em&gt;</v>
      </c>
    </row>
    <row r="317" spans="10:11" x14ac:dyDescent="0.25">
      <c r="J317" t="s">
        <v>2549</v>
      </c>
      <c r="K317" t="str">
        <f>REPLACE(IF(B2&gt;0,REPLACE(J317,51,8,B2),""),FIND("ABC",J317,1),3,$I$2)</f>
        <v>&lt;em&gt;8.3.2.2. GCC ABC Market Size and Forecast, by BB (2024-2032)&lt;/em&gt;</v>
      </c>
    </row>
    <row r="318" spans="10:11" x14ac:dyDescent="0.25">
      <c r="J318" t="s">
        <v>379</v>
      </c>
      <c r="K318" t="str">
        <f>J318</f>
        <v>&lt;strong&gt;&lt;em&gt;8.3.3. Nigeria&lt;/em&gt;&lt;/strong&gt;</v>
      </c>
    </row>
    <row r="319" spans="10:11" x14ac:dyDescent="0.25">
      <c r="J319" t="s">
        <v>2550</v>
      </c>
      <c r="K319" t="str">
        <f>REPLACE(IF(A2&gt;0,REPLACE(J319,55,8,A2),""),FIND("ABC",J319,1),3,$I$2)</f>
        <v>&lt;em&gt;8.3.3.1. Nigeria ABC Market Size and Forecast, by AA (2024-2032)&lt;/em&gt;</v>
      </c>
    </row>
    <row r="320" spans="10:11" x14ac:dyDescent="0.25">
      <c r="J320" t="s">
        <v>2551</v>
      </c>
      <c r="K320" t="str">
        <f>REPLACE(IF(B2&gt;0,REPLACE(J320,55,8,B2),""),FIND("ABC",J320,1),3,$I$2)</f>
        <v>&lt;em&gt;8.3.3.2. Nigeria ABC Market Size and Forecast, by BB (2024-2032)&lt;/em&gt;</v>
      </c>
    </row>
    <row r="321" spans="10:11" x14ac:dyDescent="0.25">
      <c r="J321" t="s">
        <v>2552</v>
      </c>
      <c r="K321" t="str">
        <f>J321</f>
        <v>&lt;strong&gt;&lt;em&gt;8.3.4. Rest of ME&amp;amp;A&lt;/em&gt;&lt;/strong&gt;</v>
      </c>
    </row>
    <row r="322" spans="10:11" x14ac:dyDescent="0.25">
      <c r="J322" t="s">
        <v>2553</v>
      </c>
      <c r="K322" t="str">
        <f>REPLACE(IF(A2&gt;0,REPLACE(J322,64,8,A2),""),FIND("ABC",J322,1),3,$I$2)</f>
        <v>&lt;em&gt;8.3.4.1. Rest of ME&amp;amp;A ABC Market Size and Forecast, by AA (2024-2032)&lt;/em&gt;</v>
      </c>
    </row>
    <row r="323" spans="10:11" x14ac:dyDescent="0.25">
      <c r="J323" t="s">
        <v>2554</v>
      </c>
      <c r="K323" t="str">
        <f>REPLACE(IF(B2&gt;0,REPLACE(J323,64,8,B2),""),FIND("ABC",J323,1),3,$I$2)</f>
        <v>&lt;em&gt;8.3.4.2. Rest of ME&amp;amp;A ABC Market Size and Forecast, by BB (2024-2032)&lt;/em&gt;</v>
      </c>
    </row>
    <row r="325" spans="10:11" x14ac:dyDescent="0.25">
      <c r="J325" t="s">
        <v>1038</v>
      </c>
      <c r="K325" t="str">
        <f>REPLACE(J325,FIND("ABC",J325,1),3,$I$2)</f>
        <v>&lt;strong&gt;9. South America ABC Market Size and Forecast by Segmentation (by Value in USD Million) 2024-2032&lt;/strong&gt;</v>
      </c>
    </row>
    <row r="326" spans="10:11" x14ac:dyDescent="0.25">
      <c r="J326" t="s">
        <v>1039</v>
      </c>
      <c r="K326" t="str">
        <f>REPLACE(IF(A2&gt;0,REPLACE(J326,53,8,A2),""),FIND("ABC",J326,1),3,$I$2)</f>
        <v>9.1. South America ABC Market Size and Forecast, by AA (2024-2032)</v>
      </c>
    </row>
    <row r="327" spans="10:11" x14ac:dyDescent="0.25">
      <c r="J327" t="s">
        <v>1040</v>
      </c>
      <c r="K327" t="str">
        <f>REPLACE(IF(B2&gt;0,REPLACE(J327,53,8,B2),""),FIND("ABC",J327,1),3,$I$2)</f>
        <v>9.2. South America ABC Market Size and Forecast, by BB (2024-2032)</v>
      </c>
    </row>
    <row r="328" spans="10:11" x14ac:dyDescent="0.25">
      <c r="J328" t="s">
        <v>2538</v>
      </c>
      <c r="K328" t="str">
        <f>REPLACE(J328,FIND("ABC",J328,1),3,$I$2)</f>
        <v>9.3. South America ABC Market Size and Forecast, by Country (2024-2032)</v>
      </c>
    </row>
    <row r="329" spans="10:11" x14ac:dyDescent="0.25">
      <c r="J329" t="s">
        <v>380</v>
      </c>
      <c r="K329" t="str">
        <f>J329</f>
        <v>&lt;strong&gt;&lt;em&gt;9.3.1. Brazil&lt;/em&gt;&lt;/strong&gt;</v>
      </c>
    </row>
    <row r="330" spans="10:11" x14ac:dyDescent="0.25">
      <c r="J330" t="s">
        <v>2539</v>
      </c>
      <c r="K330" t="str">
        <f>REPLACE(IF(A2&gt;0,REPLACE(J330,54,8,A2),""),FIND("ABC",J330,1),3,$I$2)</f>
        <v>&lt;em&gt;9.3.1.1. Brazil ABC Market Size and Forecast, by AA (2024-2032)&lt;/em&gt;</v>
      </c>
    </row>
    <row r="331" spans="10:11" x14ac:dyDescent="0.25">
      <c r="J331" t="s">
        <v>2540</v>
      </c>
      <c r="K331" t="str">
        <f>REPLACE(IF(B2&gt;0,REPLACE(J331,54,8,B2),""),FIND("ABC",J331,1),3,$I$2)</f>
        <v>&lt;em&gt;9.3.1.2. Brazil ABC Market Size and Forecast, by BB (2024-2032)&lt;/em&gt;</v>
      </c>
    </row>
    <row r="332" spans="10:11" x14ac:dyDescent="0.25">
      <c r="J332" t="s">
        <v>381</v>
      </c>
      <c r="K332" t="str">
        <f>J332</f>
        <v>&lt;strong&gt;&lt;em&gt;9.3.2. Argentina&lt;/em&gt;&lt;/strong&gt;</v>
      </c>
    </row>
    <row r="333" spans="10:11" x14ac:dyDescent="0.25">
      <c r="J333" t="s">
        <v>2541</v>
      </c>
      <c r="K333" t="str">
        <f>REPLACE(IF(A2&gt;0,REPLACE(J333,57,8,A2),""),FIND("ABC",J333,1),3,$I$2)</f>
        <v>&lt;em&gt;9.3.2.1. Argentina ABC Market Size and Forecast, by AA (2024-2032)&lt;/em&gt;</v>
      </c>
    </row>
    <row r="334" spans="10:11" x14ac:dyDescent="0.25">
      <c r="J334" t="s">
        <v>2542</v>
      </c>
      <c r="K334" t="str">
        <f>REPLACE(IF(B2&gt;0,REPLACE(J334,57,8,B2),""),FIND("ABC",J334,1),3,$I$2)</f>
        <v>&lt;em&gt;9.3.2.2. Argentina ABC Market Size and Forecast, by BB (2024-2032)&lt;/em&gt;</v>
      </c>
    </row>
    <row r="335" spans="10:11" x14ac:dyDescent="0.25">
      <c r="J335" t="s">
        <v>382</v>
      </c>
      <c r="K335" t="str">
        <f>J335</f>
        <v>&lt;strong&gt;&lt;em&gt;9.3.3. Rest Of South America&lt;/em&gt;&lt;/strong&gt;</v>
      </c>
    </row>
    <row r="336" spans="10:11" x14ac:dyDescent="0.25">
      <c r="J336" t="s">
        <v>2543</v>
      </c>
      <c r="K336" t="str">
        <f>REPLACE(IF(A2&gt;0,REPLACE(J336,69,8,A2),""),FIND("ABC",J336,1),3,$I$2)</f>
        <v>&lt;em&gt;9.3.3.1. Rest Of South America ABC Market Size and Forecast, by AA (2024-2032)&lt;/em&gt;</v>
      </c>
    </row>
    <row r="337" spans="10:11" x14ac:dyDescent="0.25">
      <c r="J337" t="s">
        <v>2544</v>
      </c>
      <c r="K337" t="str">
        <f>REPLACE(IF(B2&gt;0,REPLACE(J337,69,8,B2),""),FIND("ABC",J337,1),3,$I$2)</f>
        <v>&lt;em&gt;9.3.3.2. Rest Of South America ABC Market Size and Forecast, by BB (2024-2032)&lt;/em&gt;</v>
      </c>
    </row>
    <row r="339" spans="10:11" x14ac:dyDescent="0.25">
      <c r="J339" t="s">
        <v>58</v>
      </c>
      <c r="K339" t="s">
        <v>58</v>
      </c>
    </row>
    <row r="340" spans="10:11" x14ac:dyDescent="0.25">
      <c r="J340" t="s">
        <v>87</v>
      </c>
      <c r="K340" t="str">
        <f>IF(H4&gt;0,REPLACE(J340,7,8,H4),"")</f>
        <v>10.1. Company1</v>
      </c>
    </row>
    <row r="341" spans="10:11" x14ac:dyDescent="0.25">
      <c r="J341" t="s">
        <v>59</v>
      </c>
      <c r="K341" t="s">
        <v>59</v>
      </c>
    </row>
    <row r="342" spans="10:11" x14ac:dyDescent="0.25">
      <c r="J342" t="s">
        <v>60</v>
      </c>
      <c r="K342" t="s">
        <v>60</v>
      </c>
    </row>
    <row r="343" spans="10:11" x14ac:dyDescent="0.25">
      <c r="J343" t="s">
        <v>61</v>
      </c>
      <c r="K343" t="s">
        <v>61</v>
      </c>
    </row>
    <row r="344" spans="10:11" x14ac:dyDescent="0.25">
      <c r="J344" t="s">
        <v>62</v>
      </c>
      <c r="K344" t="s">
        <v>62</v>
      </c>
    </row>
    <row r="345" spans="10:11" x14ac:dyDescent="0.25">
      <c r="J345" t="s">
        <v>63</v>
      </c>
      <c r="K345" t="s">
        <v>63</v>
      </c>
    </row>
    <row r="346" spans="10:11" x14ac:dyDescent="0.25">
      <c r="J346" t="s">
        <v>64</v>
      </c>
      <c r="K346" t="s">
        <v>64</v>
      </c>
    </row>
    <row r="347" spans="10:11" x14ac:dyDescent="0.25">
      <c r="J347" t="s">
        <v>65</v>
      </c>
      <c r="K347" t="s">
        <v>65</v>
      </c>
    </row>
    <row r="348" spans="10:11" x14ac:dyDescent="0.25">
      <c r="J348" t="s">
        <v>66</v>
      </c>
      <c r="K348" t="s">
        <v>66</v>
      </c>
    </row>
    <row r="349" spans="10:11" x14ac:dyDescent="0.25">
      <c r="J349" t="s">
        <v>67</v>
      </c>
      <c r="K349" t="s">
        <v>67</v>
      </c>
    </row>
    <row r="350" spans="10:11" x14ac:dyDescent="0.25">
      <c r="J350" t="s">
        <v>68</v>
      </c>
      <c r="K350" t="s">
        <v>68</v>
      </c>
    </row>
    <row r="351" spans="10:11" x14ac:dyDescent="0.25">
      <c r="J351" t="s">
        <v>88</v>
      </c>
      <c r="K351" t="str">
        <f>IF(H5&gt;0,REPLACE(J351,7,8,H5),"")</f>
        <v/>
      </c>
    </row>
    <row r="352" spans="10:11" x14ac:dyDescent="0.25">
      <c r="J352" t="s">
        <v>89</v>
      </c>
      <c r="K352" t="str">
        <f>IF(H6&gt;0,REPLACE(J352,7,8,H6),"")</f>
        <v/>
      </c>
    </row>
    <row r="353" spans="10:11" x14ac:dyDescent="0.25">
      <c r="J353" t="s">
        <v>90</v>
      </c>
      <c r="K353" t="str">
        <f>IF(H7&gt;0,REPLACE(J353,7,8,H7),"")</f>
        <v/>
      </c>
    </row>
    <row r="354" spans="10:11" x14ac:dyDescent="0.25">
      <c r="J354" t="s">
        <v>91</v>
      </c>
      <c r="K354" t="str">
        <f>IF(H8&gt;0,REPLACE(J354,7,8,H8),"")</f>
        <v/>
      </c>
    </row>
    <row r="355" spans="10:11" x14ac:dyDescent="0.25">
      <c r="J355" t="s">
        <v>92</v>
      </c>
      <c r="K355" t="str">
        <f>IF(H9&gt;0,REPLACE(J355,7,8,H9),"")</f>
        <v/>
      </c>
    </row>
    <row r="356" spans="10:11" x14ac:dyDescent="0.25">
      <c r="J356" t="s">
        <v>93</v>
      </c>
      <c r="K356" t="str">
        <f>IF(H10&gt;0,REPLACE(J356,7,8,H10),"")</f>
        <v/>
      </c>
    </row>
    <row r="357" spans="10:11" x14ac:dyDescent="0.25">
      <c r="J357" t="s">
        <v>94</v>
      </c>
      <c r="K357" t="str">
        <f>IF(H11&gt;0,REPLACE(J357,7,8,H11),"")</f>
        <v/>
      </c>
    </row>
    <row r="358" spans="10:11" x14ac:dyDescent="0.25">
      <c r="J358" t="s">
        <v>95</v>
      </c>
      <c r="K358" t="str">
        <f>IF(H12&gt;0,REPLACE(J358,7,8,H12),"")</f>
        <v/>
      </c>
    </row>
    <row r="359" spans="10:11" x14ac:dyDescent="0.25">
      <c r="J359" t="s">
        <v>96</v>
      </c>
      <c r="K359" t="str">
        <f>IF(H13&gt;0,REPLACE(J359,8,9,H13),"")</f>
        <v/>
      </c>
    </row>
    <row r="360" spans="10:11" x14ac:dyDescent="0.25">
      <c r="J360" t="s">
        <v>97</v>
      </c>
      <c r="K360" t="str">
        <f>IF(H14&gt;0,REPLACE(J360,8,9,H14),"")</f>
        <v/>
      </c>
    </row>
    <row r="361" spans="10:11" x14ac:dyDescent="0.25">
      <c r="J361" t="s">
        <v>98</v>
      </c>
      <c r="K361" t="str">
        <f>IF(H15&gt;0,REPLACE(J361,8,9,H15),"")</f>
        <v/>
      </c>
    </row>
    <row r="362" spans="10:11" x14ac:dyDescent="0.25">
      <c r="J362" t="s">
        <v>99</v>
      </c>
      <c r="K362" t="str">
        <f>IF(H16&gt;0,REPLACE(J362,8,9,H16),"")</f>
        <v/>
      </c>
    </row>
    <row r="363" spans="10:11" x14ac:dyDescent="0.25">
      <c r="J363" t="s">
        <v>100</v>
      </c>
      <c r="K363" t="str">
        <f>IF(H17&gt;0,REPLACE(J363,8,9,H17),"")</f>
        <v/>
      </c>
    </row>
    <row r="364" spans="10:11" x14ac:dyDescent="0.25">
      <c r="J364" t="s">
        <v>101</v>
      </c>
      <c r="K364" t="str">
        <f>IF(H18&gt;0,REPLACE(J364,8,9,H18),"")</f>
        <v/>
      </c>
    </row>
    <row r="365" spans="10:11" x14ac:dyDescent="0.25">
      <c r="J365" t="s">
        <v>102</v>
      </c>
      <c r="K365" t="str">
        <f>IF(H19&gt;0,REPLACE(J365,8,9,H19),"")</f>
        <v/>
      </c>
    </row>
    <row r="366" spans="10:11" x14ac:dyDescent="0.25">
      <c r="J366" t="s">
        <v>103</v>
      </c>
      <c r="K366" t="str">
        <f>IF(H20&gt;0,REPLACE(J366,8,9,H20),"")</f>
        <v/>
      </c>
    </row>
    <row r="367" spans="10:11" x14ac:dyDescent="0.25">
      <c r="J367" t="s">
        <v>104</v>
      </c>
      <c r="K367" t="str">
        <f>IF(H21&gt;0,REPLACE(J367,8,9,H21),"")</f>
        <v/>
      </c>
    </row>
    <row r="368" spans="10:11" x14ac:dyDescent="0.25">
      <c r="J368" t="s">
        <v>105</v>
      </c>
      <c r="K368" t="str">
        <f>IF(H22&gt;0,REPLACE(J368,8,9,H22),"")</f>
        <v/>
      </c>
    </row>
    <row r="369" spans="10:11" x14ac:dyDescent="0.25">
      <c r="J369" t="s">
        <v>106</v>
      </c>
      <c r="K369" t="str">
        <f>IF(H23&gt;0,REPLACE(J369,8,9,H23),"")</f>
        <v/>
      </c>
    </row>
    <row r="370" spans="10:11" x14ac:dyDescent="0.25">
      <c r="J370" t="s">
        <v>107</v>
      </c>
      <c r="K370" t="str">
        <f>IF(H24&gt;0,REPLACE(J370,8,9,H24),"")</f>
        <v/>
      </c>
    </row>
    <row r="371" spans="10:11" x14ac:dyDescent="0.25">
      <c r="J371" t="s">
        <v>108</v>
      </c>
      <c r="K371" t="str">
        <f>IF(H25&gt;0,REPLACE(J371,8,9,H25),"")</f>
        <v/>
      </c>
    </row>
    <row r="372" spans="10:11" x14ac:dyDescent="0.25">
      <c r="J372" t="s">
        <v>109</v>
      </c>
      <c r="K372" t="str">
        <f>IF(H26&gt;0,REPLACE(J372,8,9,H26),"")</f>
        <v/>
      </c>
    </row>
    <row r="373" spans="10:11" x14ac:dyDescent="0.25">
      <c r="J373" t="s">
        <v>110</v>
      </c>
      <c r="K373" t="str">
        <f>IF(H27&gt;0,REPLACE(J373,8,9,H27),"")</f>
        <v/>
      </c>
    </row>
    <row r="374" spans="10:11" x14ac:dyDescent="0.25">
      <c r="J374" t="s">
        <v>111</v>
      </c>
      <c r="K374" t="str">
        <f>IF(H28&gt;0,REPLACE(J374,8,9,H28),"")</f>
        <v/>
      </c>
    </row>
    <row r="375" spans="10:11" x14ac:dyDescent="0.25">
      <c r="J375" t="s">
        <v>112</v>
      </c>
      <c r="K375" t="str">
        <f>IF(H29&gt;0,REPLACE(J375,8,9,H29),"")</f>
        <v/>
      </c>
    </row>
    <row r="376" spans="10:11" x14ac:dyDescent="0.25">
      <c r="J376" t="s">
        <v>113</v>
      </c>
      <c r="K376" t="str">
        <f>IF(H30&gt;0,REPLACE(J376,8,9,H30),"")</f>
        <v/>
      </c>
    </row>
    <row r="377" spans="10:11" x14ac:dyDescent="0.25">
      <c r="J377" t="s">
        <v>114</v>
      </c>
      <c r="K377" t="str">
        <f>IF(H31&gt;0,REPLACE(J377,8,9,H31),"")</f>
        <v/>
      </c>
    </row>
    <row r="378" spans="10:11" x14ac:dyDescent="0.25">
      <c r="J378" t="s">
        <v>115</v>
      </c>
      <c r="K378" t="str">
        <f>IF(H32&gt;0,REPLACE(J378,8,9,H32),"")</f>
        <v/>
      </c>
    </row>
    <row r="379" spans="10:11" x14ac:dyDescent="0.25">
      <c r="J379" t="s">
        <v>116</v>
      </c>
      <c r="K379" t="str">
        <f>IF(H33&gt;0,REPLACE(J379,8,9,H33),"")</f>
        <v/>
      </c>
    </row>
    <row r="380" spans="10:11" x14ac:dyDescent="0.25">
      <c r="J380" t="s">
        <v>160</v>
      </c>
      <c r="K380" t="str">
        <f>IF(H34&gt;0,REPLACE(J380,8,9,H34),"")</f>
        <v/>
      </c>
    </row>
    <row r="381" spans="10:11" x14ac:dyDescent="0.25">
      <c r="J381" t="s">
        <v>161</v>
      </c>
      <c r="K381" t="str">
        <f>IF(H35&gt;0,REPLACE(J381,8,9,H35),"")</f>
        <v/>
      </c>
    </row>
    <row r="382" spans="10:11" x14ac:dyDescent="0.25">
      <c r="J382" t="s">
        <v>162</v>
      </c>
      <c r="K382" t="str">
        <f>IF(H36&gt;0,REPLACE(J382,8,9,H36),"")</f>
        <v/>
      </c>
    </row>
    <row r="383" spans="10:11" x14ac:dyDescent="0.25">
      <c r="J383" t="s">
        <v>163</v>
      </c>
      <c r="K383" t="str">
        <f>IF(H37&gt;0,REPLACE(J383,8,9,H37),"")</f>
        <v/>
      </c>
    </row>
    <row r="384" spans="10:11" x14ac:dyDescent="0.25">
      <c r="J384" t="s">
        <v>164</v>
      </c>
      <c r="K384" t="str">
        <f>IF(H38&gt;0,REPLACE(J384,8,9,H38),"")</f>
        <v/>
      </c>
    </row>
    <row r="385" spans="10:11" x14ac:dyDescent="0.25">
      <c r="J385" t="s">
        <v>165</v>
      </c>
      <c r="K385" t="str">
        <f>IF(H39&gt;0,REPLACE(J385,8,9,H39),"")</f>
        <v/>
      </c>
    </row>
    <row r="386" spans="10:11" x14ac:dyDescent="0.25">
      <c r="J386" t="s">
        <v>166</v>
      </c>
      <c r="K386" t="str">
        <f>IF(H40&gt;0,REPLACE(J386,8,9,H40),"")</f>
        <v/>
      </c>
    </row>
    <row r="387" spans="10:11" x14ac:dyDescent="0.25">
      <c r="J387" t="s">
        <v>167</v>
      </c>
      <c r="K387" t="str">
        <f>IF(H41&gt;0,REPLACE(J387,8,9,H41),"")</f>
        <v/>
      </c>
    </row>
    <row r="388" spans="10:11" x14ac:dyDescent="0.25">
      <c r="J388" t="s">
        <v>168</v>
      </c>
      <c r="K388" t="str">
        <f>IF(H42&gt;0,REPLACE(J388,8,9,H42),"")</f>
        <v/>
      </c>
    </row>
    <row r="389" spans="10:11" x14ac:dyDescent="0.25">
      <c r="J389" t="s">
        <v>169</v>
      </c>
      <c r="K389" t="str">
        <f>IF(H43&gt;0,REPLACE(J389,8,9,H43),"")</f>
        <v/>
      </c>
    </row>
    <row r="391" spans="10:11" x14ac:dyDescent="0.25">
      <c r="J391" t="s">
        <v>69</v>
      </c>
      <c r="K391" t="s">
        <v>69</v>
      </c>
    </row>
    <row r="393" spans="10:11" x14ac:dyDescent="0.25">
      <c r="J393" t="s">
        <v>70</v>
      </c>
      <c r="K393" t="s">
        <v>70</v>
      </c>
    </row>
    <row r="395" spans="10:11" x14ac:dyDescent="0.25">
      <c r="J395" t="s">
        <v>71</v>
      </c>
      <c r="K395" t="str">
        <f>REPLACE(J395,FIND("ABC",J395,1),3,I2)</f>
        <v>&lt;strong&gt;13. ABC Market: Research Methodology&lt;/strong&gt;</v>
      </c>
    </row>
    <row r="397" spans="10:11" x14ac:dyDescent="0.25">
      <c r="J397" t="s">
        <v>72</v>
      </c>
      <c r="K397" t="s">
        <v>72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33"/>
  <sheetViews>
    <sheetView workbookViewId="0">
      <selection activeCell="I4" sqref="I4"/>
    </sheetView>
  </sheetViews>
  <sheetFormatPr defaultRowHeight="15" x14ac:dyDescent="0.25"/>
  <cols>
    <col min="1" max="1" width="11.140625" customWidth="1"/>
    <col min="2" max="2" width="17.7109375" customWidth="1"/>
    <col min="3" max="3" width="15.140625" customWidth="1"/>
    <col min="4" max="4" width="16.7109375" customWidth="1"/>
    <col min="5" max="5" width="12.85546875" customWidth="1"/>
    <col min="6" max="7" width="17.28515625" customWidth="1"/>
    <col min="8" max="8" width="14.140625" customWidth="1"/>
    <col min="9" max="9" width="15.5703125" customWidth="1"/>
  </cols>
  <sheetData>
    <row r="1" spans="1:11" x14ac:dyDescent="0.25">
      <c r="A1" s="1" t="s">
        <v>73</v>
      </c>
      <c r="B1" s="1" t="s">
        <v>74</v>
      </c>
      <c r="C1" s="1" t="s">
        <v>75</v>
      </c>
      <c r="D1" s="1"/>
      <c r="E1" s="1"/>
      <c r="F1" s="1"/>
      <c r="G1" s="1"/>
      <c r="H1" s="1" t="s">
        <v>79</v>
      </c>
      <c r="I1" s="1" t="s">
        <v>122</v>
      </c>
    </row>
    <row r="2" spans="1:11" x14ac:dyDescent="0.25">
      <c r="A2" s="2" t="s">
        <v>80</v>
      </c>
      <c r="B2" s="2" t="s">
        <v>81</v>
      </c>
      <c r="C2" s="2" t="s">
        <v>82</v>
      </c>
      <c r="I2" s="2" t="s">
        <v>159</v>
      </c>
      <c r="J2" t="s">
        <v>0</v>
      </c>
      <c r="K2" t="str">
        <f>REPLACE(J2,FIND("ABC",J2,1),3,I2)</f>
        <v>&lt;strong&gt;1. ABC Market Introduction&lt;/strong&gt;</v>
      </c>
    </row>
    <row r="3" spans="1:11" x14ac:dyDescent="0.25">
      <c r="A3" s="3"/>
      <c r="B3" s="3"/>
      <c r="C3" s="3"/>
      <c r="J3" t="s">
        <v>1</v>
      </c>
      <c r="K3" t="s">
        <v>1</v>
      </c>
    </row>
    <row r="4" spans="1:11" x14ac:dyDescent="0.25">
      <c r="A4" s="2"/>
      <c r="B4" s="2"/>
      <c r="C4" s="2"/>
      <c r="H4" s="2" t="s">
        <v>86</v>
      </c>
      <c r="J4" t="s">
        <v>2</v>
      </c>
      <c r="K4" t="s">
        <v>2</v>
      </c>
    </row>
    <row r="5" spans="1:11" x14ac:dyDescent="0.25">
      <c r="A5" s="2"/>
      <c r="B5" s="2"/>
      <c r="C5" s="2"/>
      <c r="H5" s="2"/>
      <c r="J5" t="s">
        <v>3</v>
      </c>
      <c r="K5" t="s">
        <v>3</v>
      </c>
    </row>
    <row r="6" spans="1:11" x14ac:dyDescent="0.25">
      <c r="A6" s="2"/>
      <c r="B6" s="2"/>
      <c r="C6" s="2"/>
      <c r="H6" s="2"/>
    </row>
    <row r="7" spans="1:11" x14ac:dyDescent="0.25">
      <c r="A7" s="2"/>
      <c r="B7" s="2"/>
      <c r="C7" s="2"/>
      <c r="H7" s="2"/>
      <c r="J7" t="s">
        <v>189</v>
      </c>
      <c r="K7" t="str">
        <f>REPLACE(J7,FIND("ABC",J7,1),3,$I$2)</f>
        <v>&lt;strong&gt;2. Global ABC Market: Competitive Landscape&lt;/strong&gt;</v>
      </c>
    </row>
    <row r="8" spans="1:11" x14ac:dyDescent="0.25">
      <c r="A8" s="2"/>
      <c r="B8" s="2"/>
      <c r="C8" s="2"/>
      <c r="H8" s="2"/>
      <c r="J8" t="s">
        <v>187</v>
      </c>
      <c r="K8" t="str">
        <f t="shared" ref="K8:K15" si="0">J8</f>
        <v>2.1. MMR Competition Matrix</v>
      </c>
    </row>
    <row r="9" spans="1:11" x14ac:dyDescent="0.25">
      <c r="A9" s="2"/>
      <c r="B9" s="2"/>
      <c r="C9" s="2"/>
      <c r="H9" s="2"/>
      <c r="J9" t="s">
        <v>188</v>
      </c>
      <c r="K9" t="str">
        <f t="shared" si="0"/>
        <v>2.2. Competitive Landscape</v>
      </c>
    </row>
    <row r="10" spans="1:11" x14ac:dyDescent="0.25">
      <c r="A10" s="2"/>
      <c r="B10" s="2"/>
      <c r="C10" s="2"/>
      <c r="H10" s="2"/>
      <c r="J10" t="s">
        <v>383</v>
      </c>
      <c r="K10" t="str">
        <f t="shared" si="0"/>
        <v>2.3. Key Players Benchmarking</v>
      </c>
    </row>
    <row r="11" spans="1:11" x14ac:dyDescent="0.25">
      <c r="A11" s="2"/>
      <c r="B11" s="2"/>
      <c r="C11" s="2"/>
      <c r="H11" s="2"/>
      <c r="J11" t="s">
        <v>384</v>
      </c>
      <c r="K11" t="str">
        <f t="shared" si="0"/>
        <v>&lt;em&gt;2.3.1. Company Name&lt;/em&gt;</v>
      </c>
    </row>
    <row r="12" spans="1:11" x14ac:dyDescent="0.25">
      <c r="A12" s="2"/>
      <c r="B12" s="2"/>
      <c r="C12" s="2"/>
      <c r="H12" s="2"/>
      <c r="J12" t="s">
        <v>385</v>
      </c>
      <c r="K12" t="str">
        <f t="shared" si="0"/>
        <v>&lt;em&gt;2.3.2. Business Segment&lt;/em&gt;</v>
      </c>
    </row>
    <row r="13" spans="1:11" x14ac:dyDescent="0.25">
      <c r="A13" s="2"/>
      <c r="B13" s="2"/>
      <c r="C13" s="2"/>
      <c r="H13" s="2"/>
      <c r="J13" t="s">
        <v>386</v>
      </c>
      <c r="K13" t="str">
        <f t="shared" si="0"/>
        <v>&lt;em&gt;2.3.3. End-user Segment&lt;/em&gt;</v>
      </c>
    </row>
    <row r="14" spans="1:11" x14ac:dyDescent="0.25">
      <c r="A14" s="2"/>
      <c r="B14" s="2"/>
      <c r="C14" s="2"/>
      <c r="H14" s="2"/>
      <c r="J14" t="s">
        <v>817</v>
      </c>
      <c r="K14" t="str">
        <f t="shared" si="0"/>
        <v>&lt;em&gt;2.3.4. Revenue (2024)&lt;/em&gt;</v>
      </c>
    </row>
    <row r="15" spans="1:11" x14ac:dyDescent="0.25">
      <c r="A15" s="2"/>
      <c r="B15" s="2"/>
      <c r="C15" s="2"/>
      <c r="H15" s="2"/>
      <c r="J15" t="s">
        <v>387</v>
      </c>
      <c r="K15" t="str">
        <f t="shared" si="0"/>
        <v>&lt;em&gt;2.3.5. Company Locations&lt;/em&gt;</v>
      </c>
    </row>
    <row r="16" spans="1:11" x14ac:dyDescent="0.25">
      <c r="A16" s="2"/>
      <c r="B16" s="2"/>
      <c r="C16" s="2"/>
      <c r="H16" s="2"/>
      <c r="J16" t="s">
        <v>388</v>
      </c>
      <c r="K16" t="str">
        <f>REPLACE(J16,FIND("ABC",J16,1),3,$I$2)</f>
        <v>2.4. Leading ABC Market Companies, by market capitalization</v>
      </c>
    </row>
    <row r="17" spans="1:11" x14ac:dyDescent="0.25">
      <c r="A17" s="2"/>
      <c r="B17" s="2"/>
      <c r="C17" s="2"/>
      <c r="H17" s="2"/>
      <c r="J17" t="s">
        <v>389</v>
      </c>
      <c r="K17" t="str">
        <f>J17</f>
        <v>2.5. Market Structure</v>
      </c>
    </row>
    <row r="18" spans="1:11" x14ac:dyDescent="0.25">
      <c r="A18" s="2"/>
      <c r="B18" s="2"/>
      <c r="C18" s="2"/>
      <c r="H18" s="2"/>
      <c r="J18" t="s">
        <v>390</v>
      </c>
      <c r="K18" t="str">
        <f>J18</f>
        <v>&lt;em&gt;2.5.1. Market Leaders&lt;/em&gt;</v>
      </c>
    </row>
    <row r="19" spans="1:11" x14ac:dyDescent="0.25">
      <c r="H19" s="2"/>
      <c r="J19" t="s">
        <v>391</v>
      </c>
      <c r="K19" t="str">
        <f>J19</f>
        <v>&lt;em&gt;2.5.2. Market Followers&lt;/em&gt;</v>
      </c>
    </row>
    <row r="20" spans="1:11" x14ac:dyDescent="0.25">
      <c r="H20" s="2"/>
      <c r="J20" t="s">
        <v>392</v>
      </c>
      <c r="K20" t="str">
        <f>J20</f>
        <v>&lt;em&gt;2.5.3. Emerging Players&lt;/em&gt;</v>
      </c>
    </row>
    <row r="21" spans="1:11" x14ac:dyDescent="0.25">
      <c r="H21" s="2"/>
      <c r="J21" t="s">
        <v>393</v>
      </c>
      <c r="K21" t="str">
        <f>J21</f>
        <v>2.6. Mergers and Acquisitions Details</v>
      </c>
    </row>
    <row r="22" spans="1:11" x14ac:dyDescent="0.25">
      <c r="H22" s="2"/>
    </row>
    <row r="23" spans="1:11" x14ac:dyDescent="0.25">
      <c r="H23" s="2"/>
      <c r="J23" t="s">
        <v>190</v>
      </c>
      <c r="K23" t="str">
        <f>REPLACE(J23,FIND("ABC",J23,1),3,$I$2)</f>
        <v>&lt;strong&gt;3. ABC Market: Dynamics&lt;/strong&gt;</v>
      </c>
    </row>
    <row r="24" spans="1:11" x14ac:dyDescent="0.25">
      <c r="H24" s="2"/>
      <c r="J24" t="s">
        <v>191</v>
      </c>
      <c r="K24" t="str">
        <f>REPLACE(J24,FIND("ABC",J24,1),3,$I$2)</f>
        <v>3.1. ABC Market Trends by Region</v>
      </c>
    </row>
    <row r="25" spans="1:11" x14ac:dyDescent="0.25">
      <c r="H25" s="2"/>
      <c r="J25" t="s">
        <v>192</v>
      </c>
      <c r="K25" t="str">
        <f>REPLACE(J25,FIND("ABC",J25,1),3,$I$2)</f>
        <v>&lt;em&gt;3.1.1. North America ABC Market Trends&lt;/em&gt;</v>
      </c>
    </row>
    <row r="26" spans="1:11" x14ac:dyDescent="0.25">
      <c r="H26" s="2"/>
      <c r="J26" t="s">
        <v>193</v>
      </c>
      <c r="K26" t="str">
        <f t="shared" ref="K26:K30" si="1">REPLACE(J26,FIND("ABC",J26,1),3,$I$2)</f>
        <v>&lt;em&gt;3.1.2. Europe ABC Market Trends&lt;/em&gt;</v>
      </c>
    </row>
    <row r="27" spans="1:11" x14ac:dyDescent="0.25">
      <c r="H27" s="2"/>
      <c r="J27" t="s">
        <v>194</v>
      </c>
      <c r="K27" t="str">
        <f t="shared" si="1"/>
        <v>&lt;em&gt;3.1.3. Asia Pacific ABC Market Trends&lt;/em&gt;</v>
      </c>
    </row>
    <row r="28" spans="1:11" x14ac:dyDescent="0.25">
      <c r="H28" s="2"/>
      <c r="J28" t="s">
        <v>195</v>
      </c>
      <c r="K28" t="str">
        <f t="shared" si="1"/>
        <v>&lt;em&gt;3.1.4. Middle East and Africa ABC Market Trends&lt;/em&gt;</v>
      </c>
    </row>
    <row r="29" spans="1:11" x14ac:dyDescent="0.25">
      <c r="H29" s="2"/>
      <c r="J29" t="s">
        <v>196</v>
      </c>
      <c r="K29" t="str">
        <f t="shared" si="1"/>
        <v>&lt;em&gt;3.1.5. South America ABC Market Trends&lt;/em&gt;</v>
      </c>
    </row>
    <row r="30" spans="1:11" x14ac:dyDescent="0.25">
      <c r="H30" s="2"/>
      <c r="J30" t="s">
        <v>197</v>
      </c>
      <c r="K30" t="str">
        <f t="shared" si="1"/>
        <v>3.2. ABC Market Dynamics by Region</v>
      </c>
    </row>
    <row r="31" spans="1:11" x14ac:dyDescent="0.25">
      <c r="H31" s="2"/>
      <c r="J31" t="s">
        <v>198</v>
      </c>
      <c r="K31" t="str">
        <f>J31</f>
        <v>&lt;em&gt;3.2.1. North America&lt;/em&gt;</v>
      </c>
    </row>
    <row r="32" spans="1:11" x14ac:dyDescent="0.25">
      <c r="H32" s="2"/>
      <c r="J32" t="s">
        <v>199</v>
      </c>
      <c r="K32" t="str">
        <f>REPLACE(J32,FIND("ABC",J32,1),3,$I$2)</f>
        <v>&lt;em&gt;3.2.1.1. North America ABC Market Drivers&lt;/em&gt;</v>
      </c>
    </row>
    <row r="33" spans="8:11" x14ac:dyDescent="0.25">
      <c r="H33" s="2"/>
      <c r="J33" t="s">
        <v>200</v>
      </c>
      <c r="K33" t="str">
        <f t="shared" ref="K33:K35" si="2">REPLACE(J33,FIND("ABC",J33,1),3,$I$2)</f>
        <v>&lt;em&gt;3.2.1.2. North America ABC Market Restraints&lt;/em&gt;</v>
      </c>
    </row>
    <row r="34" spans="8:11" x14ac:dyDescent="0.25">
      <c r="H34" s="2"/>
      <c r="J34" t="s">
        <v>201</v>
      </c>
      <c r="K34" t="str">
        <f t="shared" si="2"/>
        <v>&lt;em&gt;3.2.1.3. North America ABC Market Opportunities&lt;/em&gt;</v>
      </c>
    </row>
    <row r="35" spans="8:11" x14ac:dyDescent="0.25">
      <c r="H35" s="2"/>
      <c r="J35" t="s">
        <v>202</v>
      </c>
      <c r="K35" t="str">
        <f t="shared" si="2"/>
        <v>&lt;em&gt;3.2.1.4. North America ABC Market Challenges&lt;/em&gt;</v>
      </c>
    </row>
    <row r="36" spans="8:11" x14ac:dyDescent="0.25">
      <c r="H36" s="2"/>
      <c r="J36" t="s">
        <v>203</v>
      </c>
      <c r="K36" t="str">
        <f>J36</f>
        <v>&lt;em&gt;3.2.2. Europe&lt;/em&gt;</v>
      </c>
    </row>
    <row r="37" spans="8:11" x14ac:dyDescent="0.25">
      <c r="H37" s="2"/>
      <c r="J37" t="s">
        <v>204</v>
      </c>
      <c r="K37" t="str">
        <f>REPLACE(J37,FIND("ABC",J37,1),3,$I$2)</f>
        <v>&lt;em&gt;3.2.2.1. Europe ABC Market Drivers&lt;/em&gt;</v>
      </c>
    </row>
    <row r="38" spans="8:11" x14ac:dyDescent="0.25">
      <c r="H38" s="2"/>
      <c r="J38" t="s">
        <v>205</v>
      </c>
      <c r="K38" t="str">
        <f t="shared" ref="K38:K55" si="3">REPLACE(J38,FIND("ABC",J38,1),3,$I$2)</f>
        <v>&lt;em&gt;3.2.2.2. Europe ABC Market Restraints&lt;/em&gt;</v>
      </c>
    </row>
    <row r="39" spans="8:11" x14ac:dyDescent="0.25">
      <c r="H39" s="2"/>
      <c r="J39" t="s">
        <v>206</v>
      </c>
      <c r="K39" t="str">
        <f t="shared" si="3"/>
        <v>&lt;em&gt;3.2.2.3. Europe ABC Market Opportunities&lt;/em&gt;</v>
      </c>
    </row>
    <row r="40" spans="8:11" x14ac:dyDescent="0.25">
      <c r="H40" s="2"/>
      <c r="J40" t="s">
        <v>207</v>
      </c>
      <c r="K40" t="str">
        <f t="shared" si="3"/>
        <v>&lt;em&gt;3.2.2.4. Europe ABC Market Challenges&lt;/em&gt;</v>
      </c>
    </row>
    <row r="41" spans="8:11" x14ac:dyDescent="0.25">
      <c r="H41" s="2"/>
      <c r="J41" t="s">
        <v>208</v>
      </c>
      <c r="K41" t="str">
        <f>J41</f>
        <v>&lt;em&gt;3.2.3. Asia Pacific&lt;/em&gt;</v>
      </c>
    </row>
    <row r="42" spans="8:11" x14ac:dyDescent="0.25">
      <c r="H42" s="2"/>
      <c r="J42" t="s">
        <v>209</v>
      </c>
      <c r="K42" t="str">
        <f t="shared" si="3"/>
        <v>&lt;em&gt;3.2.3.1. Asia Pacific ABC Market Drivers&lt;/em&gt;</v>
      </c>
    </row>
    <row r="43" spans="8:11" x14ac:dyDescent="0.25">
      <c r="H43" s="2"/>
      <c r="J43" t="s">
        <v>210</v>
      </c>
      <c r="K43" t="str">
        <f t="shared" si="3"/>
        <v>&lt;em&gt;3.2.3.2. Asia Pacific ABC Market Restraints&lt;/em&gt;</v>
      </c>
    </row>
    <row r="44" spans="8:11" x14ac:dyDescent="0.25">
      <c r="J44" t="s">
        <v>211</v>
      </c>
      <c r="K44" t="str">
        <f t="shared" si="3"/>
        <v>&lt;em&gt;3.2.3.3. Asia Pacific ABC Market Opportunities&lt;/em&gt;</v>
      </c>
    </row>
    <row r="45" spans="8:11" x14ac:dyDescent="0.25">
      <c r="J45" t="s">
        <v>212</v>
      </c>
      <c r="K45" t="str">
        <f t="shared" si="3"/>
        <v>&lt;em&gt;3.2.3.4. Asia Pacific ABC Market Challenges&lt;/em&gt;</v>
      </c>
    </row>
    <row r="46" spans="8:11" x14ac:dyDescent="0.25">
      <c r="J46" t="s">
        <v>213</v>
      </c>
      <c r="K46" t="str">
        <f>J46</f>
        <v>&lt;em&gt;3.2.4. Middle East and Africa&lt;/em&gt;</v>
      </c>
    </row>
    <row r="47" spans="8:11" x14ac:dyDescent="0.25">
      <c r="J47" t="s">
        <v>214</v>
      </c>
      <c r="K47" t="str">
        <f t="shared" si="3"/>
        <v>&lt;em&gt;3.2.4.1. Middle East and Africa ABC Market Drivers&lt;/em&gt;</v>
      </c>
    </row>
    <row r="48" spans="8:11" x14ac:dyDescent="0.25">
      <c r="J48" t="s">
        <v>215</v>
      </c>
      <c r="K48" t="str">
        <f t="shared" si="3"/>
        <v>&lt;em&gt;3.2.4.2. Middle East and Africa ABC Market Restraints&lt;/em&gt;</v>
      </c>
    </row>
    <row r="49" spans="10:11" x14ac:dyDescent="0.25">
      <c r="J49" t="s">
        <v>216</v>
      </c>
      <c r="K49" t="str">
        <f t="shared" si="3"/>
        <v>&lt;em&gt;3.2.4.3. Middle East and Africa ABC Market Opportunities&lt;/em&gt;</v>
      </c>
    </row>
    <row r="50" spans="10:11" x14ac:dyDescent="0.25">
      <c r="J50" t="s">
        <v>217</v>
      </c>
      <c r="K50" t="str">
        <f t="shared" si="3"/>
        <v>&lt;em&gt;3.2.4.4. Middle East and Africa ABC Market Challenges&lt;/em&gt;</v>
      </c>
    </row>
    <row r="51" spans="10:11" x14ac:dyDescent="0.25">
      <c r="J51" t="s">
        <v>218</v>
      </c>
      <c r="K51" t="str">
        <f>J51</f>
        <v>&lt;em&gt;3.2.5. South America&lt;/em&gt;</v>
      </c>
    </row>
    <row r="52" spans="10:11" x14ac:dyDescent="0.25">
      <c r="J52" t="s">
        <v>219</v>
      </c>
      <c r="K52" t="str">
        <f t="shared" si="3"/>
        <v>&lt;em&gt;3.2.5.1. South America ABC Market Drivers&lt;/em&gt;</v>
      </c>
    </row>
    <row r="53" spans="10:11" x14ac:dyDescent="0.25">
      <c r="J53" t="s">
        <v>220</v>
      </c>
      <c r="K53" t="str">
        <f t="shared" si="3"/>
        <v>&lt;em&gt;3.2.5.2. South America ABC Market Restraints&lt;/em&gt;</v>
      </c>
    </row>
    <row r="54" spans="10:11" x14ac:dyDescent="0.25">
      <c r="J54" t="s">
        <v>221</v>
      </c>
      <c r="K54" t="str">
        <f t="shared" si="3"/>
        <v>&lt;em&gt;3.2.5.3. South America ABC Market Opportunities&lt;/em&gt;</v>
      </c>
    </row>
    <row r="55" spans="10:11" x14ac:dyDescent="0.25">
      <c r="J55" t="s">
        <v>222</v>
      </c>
      <c r="K55" t="str">
        <f t="shared" si="3"/>
        <v>&lt;em&gt;3.2.5.4. South America ABC Market Challenges&lt;/em&gt;</v>
      </c>
    </row>
    <row r="56" spans="10:11" x14ac:dyDescent="0.25">
      <c r="J56" t="s">
        <v>223</v>
      </c>
      <c r="K56" t="str">
        <f t="shared" ref="K56:K64" si="4">J56</f>
        <v>3.3. PORTER’s Five Forces Analysis</v>
      </c>
    </row>
    <row r="57" spans="10:11" x14ac:dyDescent="0.25">
      <c r="J57" t="s">
        <v>224</v>
      </c>
      <c r="K57" t="str">
        <f t="shared" si="4"/>
        <v>3.4. PESTLE Analysis</v>
      </c>
    </row>
    <row r="58" spans="10:11" x14ac:dyDescent="0.25">
      <c r="J58" t="s">
        <v>225</v>
      </c>
      <c r="K58" t="str">
        <f t="shared" si="4"/>
        <v>3.5. Technology Roadmap</v>
      </c>
    </row>
    <row r="59" spans="10:11" x14ac:dyDescent="0.25">
      <c r="J59" t="s">
        <v>226</v>
      </c>
      <c r="K59" t="str">
        <f t="shared" si="4"/>
        <v>3.6. Regulatory Landscape by Region</v>
      </c>
    </row>
    <row r="60" spans="10:11" x14ac:dyDescent="0.25">
      <c r="J60" t="s">
        <v>117</v>
      </c>
      <c r="K60" t="str">
        <f t="shared" si="4"/>
        <v>&lt;em&gt;3.6.1. North America&lt;/em&gt;</v>
      </c>
    </row>
    <row r="61" spans="10:11" x14ac:dyDescent="0.25">
      <c r="J61" t="s">
        <v>118</v>
      </c>
      <c r="K61" t="str">
        <f t="shared" si="4"/>
        <v>&lt;em&gt;3.6.2. Europe&lt;/em&gt;</v>
      </c>
    </row>
    <row r="62" spans="10:11" x14ac:dyDescent="0.25">
      <c r="J62" t="s">
        <v>119</v>
      </c>
      <c r="K62" t="str">
        <f t="shared" si="4"/>
        <v>&lt;em&gt;3.6.3. Asia Pacific&lt;/em&gt;</v>
      </c>
    </row>
    <row r="63" spans="10:11" x14ac:dyDescent="0.25">
      <c r="J63" t="s">
        <v>120</v>
      </c>
      <c r="K63" t="str">
        <f t="shared" si="4"/>
        <v>&lt;em&gt;3.6.4. Middle East and Africa&lt;/em&gt;</v>
      </c>
    </row>
    <row r="64" spans="10:11" x14ac:dyDescent="0.25">
      <c r="J64" t="s">
        <v>121</v>
      </c>
      <c r="K64" t="str">
        <f t="shared" si="4"/>
        <v>&lt;em&gt;3.6.5. South America&lt;/em&gt;</v>
      </c>
    </row>
    <row r="65" spans="10:11" x14ac:dyDescent="0.25">
      <c r="J65" t="s">
        <v>227</v>
      </c>
      <c r="K65" t="str">
        <f>REPLACE(J65,FIND("ABC",J65,1),3,$I$2)</f>
        <v>3.7. Key Opinion Leader Analysis For ABC Industry</v>
      </c>
    </row>
    <row r="66" spans="10:11" x14ac:dyDescent="0.25">
      <c r="J66" t="s">
        <v>228</v>
      </c>
      <c r="K66" t="str">
        <f>REPLACE(J66,FIND("ABC",J66,1),3,$I$2)</f>
        <v>3.8. Analysis of Government Schemes and Initiatives For ABC Industry</v>
      </c>
    </row>
    <row r="67" spans="10:11" x14ac:dyDescent="0.25">
      <c r="J67" t="s">
        <v>229</v>
      </c>
      <c r="K67" t="str">
        <f>REPLACE(J67,FIND("ABC",J67,1),3,$I$2)</f>
        <v>3.9. ABC Market Trade Analysis</v>
      </c>
    </row>
    <row r="68" spans="10:11" x14ac:dyDescent="0.25">
      <c r="J68" t="s">
        <v>230</v>
      </c>
      <c r="K68" t="str">
        <f>REPLACE(J68,FIND("ABC",J68,1),3,$I$2)</f>
        <v>3.10. The Global Pandemic Impact on ABC Market</v>
      </c>
    </row>
    <row r="70" spans="10:11" x14ac:dyDescent="0.25">
      <c r="J70" t="s">
        <v>818</v>
      </c>
      <c r="K70" t="str">
        <f>REPLACE(J70,FIND("ABC",J70,1),3,$I$2)</f>
        <v>&lt;strong&gt;4. ABC Market: Global Market Size and Forecast by Segmentation by Demand and Supply Side (by Value in USD Million) 2024-2032&lt;/strong&gt;</v>
      </c>
    </row>
    <row r="71" spans="10:11" x14ac:dyDescent="0.25">
      <c r="J71" t="s">
        <v>819</v>
      </c>
      <c r="K71" t="str">
        <f>REPLACE(IF(A2&gt;0,REPLACE(J71,39,8,A2),""),6,3,I2)</f>
        <v>4.1. ABC Market Size and Forecast, by AA (2024-2032)</v>
      </c>
    </row>
    <row r="72" spans="10:11" x14ac:dyDescent="0.25">
      <c r="J72" t="s">
        <v>4</v>
      </c>
      <c r="K72" t="str">
        <f t="shared" ref="K72:K80" si="5">IF(A4&gt;0,REPLACE(J72,12,3,A4),"")</f>
        <v/>
      </c>
    </row>
    <row r="73" spans="10:11" x14ac:dyDescent="0.25">
      <c r="J73" t="s">
        <v>5</v>
      </c>
      <c r="K73" t="str">
        <f t="shared" si="5"/>
        <v/>
      </c>
    </row>
    <row r="74" spans="10:11" x14ac:dyDescent="0.25">
      <c r="J74" t="s">
        <v>6</v>
      </c>
      <c r="K74" t="str">
        <f t="shared" si="5"/>
        <v/>
      </c>
    </row>
    <row r="75" spans="10:11" x14ac:dyDescent="0.25">
      <c r="J75" t="s">
        <v>7</v>
      </c>
      <c r="K75" t="str">
        <f t="shared" si="5"/>
        <v/>
      </c>
    </row>
    <row r="76" spans="10:11" x14ac:dyDescent="0.25">
      <c r="J76" t="s">
        <v>8</v>
      </c>
      <c r="K76" t="str">
        <f t="shared" si="5"/>
        <v/>
      </c>
    </row>
    <row r="77" spans="10:11" x14ac:dyDescent="0.25">
      <c r="J77" t="s">
        <v>9</v>
      </c>
      <c r="K77" t="str">
        <f t="shared" si="5"/>
        <v/>
      </c>
    </row>
    <row r="78" spans="10:11" x14ac:dyDescent="0.25">
      <c r="J78" t="s">
        <v>10</v>
      </c>
      <c r="K78" t="str">
        <f t="shared" si="5"/>
        <v/>
      </c>
    </row>
    <row r="79" spans="10:11" x14ac:dyDescent="0.25">
      <c r="J79" t="s">
        <v>11</v>
      </c>
      <c r="K79" t="str">
        <f t="shared" si="5"/>
        <v/>
      </c>
    </row>
    <row r="80" spans="10:11" x14ac:dyDescent="0.25">
      <c r="J80" t="s">
        <v>12</v>
      </c>
      <c r="K80" t="str">
        <f t="shared" si="5"/>
        <v/>
      </c>
    </row>
    <row r="81" spans="10:11" x14ac:dyDescent="0.25">
      <c r="J81" t="s">
        <v>123</v>
      </c>
      <c r="K81" t="str">
        <f t="shared" ref="K81:K86" si="6">IF(A13&gt;0,REPLACE(J81,13,4,A13),"")</f>
        <v/>
      </c>
    </row>
    <row r="82" spans="10:11" x14ac:dyDescent="0.25">
      <c r="J82" t="s">
        <v>124</v>
      </c>
      <c r="K82" t="str">
        <f t="shared" si="6"/>
        <v/>
      </c>
    </row>
    <row r="83" spans="10:11" x14ac:dyDescent="0.25">
      <c r="J83" t="s">
        <v>125</v>
      </c>
      <c r="K83" t="str">
        <f t="shared" si="6"/>
        <v/>
      </c>
    </row>
    <row r="84" spans="10:11" x14ac:dyDescent="0.25">
      <c r="J84" t="s">
        <v>126</v>
      </c>
      <c r="K84" t="str">
        <f t="shared" si="6"/>
        <v/>
      </c>
    </row>
    <row r="85" spans="10:11" x14ac:dyDescent="0.25">
      <c r="J85" t="s">
        <v>127</v>
      </c>
      <c r="K85" t="str">
        <f t="shared" si="6"/>
        <v/>
      </c>
    </row>
    <row r="86" spans="10:11" x14ac:dyDescent="0.25">
      <c r="J86" t="s">
        <v>128</v>
      </c>
      <c r="K86" t="str">
        <f t="shared" si="6"/>
        <v/>
      </c>
    </row>
    <row r="87" spans="10:11" x14ac:dyDescent="0.25">
      <c r="J87" t="s">
        <v>820</v>
      </c>
      <c r="K87" t="str">
        <f>REPLACE(IF(B2&gt;0,REPLACE(J87,39,8,B2),""),6,3,I2)</f>
        <v>4.2. ABC Market Size and Forecast, by BB (2024-2032)</v>
      </c>
    </row>
    <row r="88" spans="10:11" x14ac:dyDescent="0.25">
      <c r="J88" t="s">
        <v>13</v>
      </c>
      <c r="K88" t="str">
        <f t="shared" ref="K88:K96" si="7">IF(B4&gt;0,REPLACE(J88,12,3,B4),"")</f>
        <v/>
      </c>
    </row>
    <row r="89" spans="10:11" x14ac:dyDescent="0.25">
      <c r="J89" t="s">
        <v>14</v>
      </c>
      <c r="K89" t="str">
        <f t="shared" si="7"/>
        <v/>
      </c>
    </row>
    <row r="90" spans="10:11" x14ac:dyDescent="0.25">
      <c r="J90" t="s">
        <v>15</v>
      </c>
      <c r="K90" t="str">
        <f t="shared" si="7"/>
        <v/>
      </c>
    </row>
    <row r="91" spans="10:11" x14ac:dyDescent="0.25">
      <c r="J91" t="s">
        <v>16</v>
      </c>
      <c r="K91" t="str">
        <f t="shared" si="7"/>
        <v/>
      </c>
    </row>
    <row r="92" spans="10:11" x14ac:dyDescent="0.25">
      <c r="J92" t="s">
        <v>17</v>
      </c>
      <c r="K92" t="str">
        <f t="shared" si="7"/>
        <v/>
      </c>
    </row>
    <row r="93" spans="10:11" x14ac:dyDescent="0.25">
      <c r="J93" t="s">
        <v>18</v>
      </c>
      <c r="K93" t="str">
        <f t="shared" si="7"/>
        <v/>
      </c>
    </row>
    <row r="94" spans="10:11" x14ac:dyDescent="0.25">
      <c r="J94" t="s">
        <v>19</v>
      </c>
      <c r="K94" t="str">
        <f t="shared" si="7"/>
        <v/>
      </c>
    </row>
    <row r="95" spans="10:11" x14ac:dyDescent="0.25">
      <c r="J95" t="s">
        <v>20</v>
      </c>
      <c r="K95" t="str">
        <f t="shared" si="7"/>
        <v/>
      </c>
    </row>
    <row r="96" spans="10:11" x14ac:dyDescent="0.25">
      <c r="J96" t="s">
        <v>21</v>
      </c>
      <c r="K96" t="str">
        <f t="shared" si="7"/>
        <v/>
      </c>
    </row>
    <row r="97" spans="10:11" x14ac:dyDescent="0.25">
      <c r="J97" t="s">
        <v>129</v>
      </c>
      <c r="K97" t="str">
        <f t="shared" ref="K97:K102" si="8">IF(B13&gt;0,REPLACE(J97,13,4,B13),"")</f>
        <v/>
      </c>
    </row>
    <row r="98" spans="10:11" x14ac:dyDescent="0.25">
      <c r="J98" t="s">
        <v>130</v>
      </c>
      <c r="K98" t="str">
        <f t="shared" si="8"/>
        <v/>
      </c>
    </row>
    <row r="99" spans="10:11" x14ac:dyDescent="0.25">
      <c r="J99" t="s">
        <v>131</v>
      </c>
      <c r="K99" t="str">
        <f t="shared" si="8"/>
        <v/>
      </c>
    </row>
    <row r="100" spans="10:11" x14ac:dyDescent="0.25">
      <c r="J100" t="s">
        <v>132</v>
      </c>
      <c r="K100" t="str">
        <f t="shared" si="8"/>
        <v/>
      </c>
    </row>
    <row r="101" spans="10:11" x14ac:dyDescent="0.25">
      <c r="J101" t="s">
        <v>133</v>
      </c>
      <c r="K101" t="str">
        <f t="shared" si="8"/>
        <v/>
      </c>
    </row>
    <row r="102" spans="10:11" x14ac:dyDescent="0.25">
      <c r="J102" t="s">
        <v>134</v>
      </c>
      <c r="K102" t="str">
        <f t="shared" si="8"/>
        <v/>
      </c>
    </row>
    <row r="103" spans="10:11" x14ac:dyDescent="0.25">
      <c r="J103" t="s">
        <v>821</v>
      </c>
      <c r="K103" t="str">
        <f>REPLACE(IF(C2&gt;0,REPLACE(J103,39,8,C2),""),6,3,I2)</f>
        <v>4.3. ABC Market Size and Forecast, by CC (2024-2032)</v>
      </c>
    </row>
    <row r="104" spans="10:11" x14ac:dyDescent="0.25">
      <c r="J104" t="s">
        <v>22</v>
      </c>
      <c r="K104" t="str">
        <f t="shared" ref="K104:K112" si="9">IF(C4&gt;0,REPLACE(J104,12,3,C4),"")</f>
        <v/>
      </c>
    </row>
    <row r="105" spans="10:11" x14ac:dyDescent="0.25">
      <c r="J105" t="s">
        <v>23</v>
      </c>
      <c r="K105" t="str">
        <f t="shared" si="9"/>
        <v/>
      </c>
    </row>
    <row r="106" spans="10:11" x14ac:dyDescent="0.25">
      <c r="J106" t="s">
        <v>24</v>
      </c>
      <c r="K106" t="str">
        <f t="shared" si="9"/>
        <v/>
      </c>
    </row>
    <row r="107" spans="10:11" x14ac:dyDescent="0.25">
      <c r="J107" t="s">
        <v>25</v>
      </c>
      <c r="K107" t="str">
        <f t="shared" si="9"/>
        <v/>
      </c>
    </row>
    <row r="108" spans="10:11" x14ac:dyDescent="0.25">
      <c r="J108" t="s">
        <v>26</v>
      </c>
      <c r="K108" t="str">
        <f t="shared" si="9"/>
        <v/>
      </c>
    </row>
    <row r="109" spans="10:11" x14ac:dyDescent="0.25">
      <c r="J109" t="s">
        <v>27</v>
      </c>
      <c r="K109" t="str">
        <f t="shared" si="9"/>
        <v/>
      </c>
    </row>
    <row r="110" spans="10:11" x14ac:dyDescent="0.25">
      <c r="J110" t="s">
        <v>28</v>
      </c>
      <c r="K110" t="str">
        <f t="shared" si="9"/>
        <v/>
      </c>
    </row>
    <row r="111" spans="10:11" x14ac:dyDescent="0.25">
      <c r="J111" t="s">
        <v>29</v>
      </c>
      <c r="K111" t="str">
        <f t="shared" si="9"/>
        <v/>
      </c>
    </row>
    <row r="112" spans="10:11" x14ac:dyDescent="0.25">
      <c r="J112" t="s">
        <v>30</v>
      </c>
      <c r="K112" t="str">
        <f t="shared" si="9"/>
        <v/>
      </c>
    </row>
    <row r="113" spans="10:11" x14ac:dyDescent="0.25">
      <c r="J113" t="s">
        <v>135</v>
      </c>
      <c r="K113" t="str">
        <f t="shared" ref="K113:K118" si="10">IF(C13&gt;0,REPLACE(J113,13,4,C13),"")</f>
        <v/>
      </c>
    </row>
    <row r="114" spans="10:11" x14ac:dyDescent="0.25">
      <c r="J114" t="s">
        <v>136</v>
      </c>
      <c r="K114" t="str">
        <f t="shared" si="10"/>
        <v/>
      </c>
    </row>
    <row r="115" spans="10:11" x14ac:dyDescent="0.25">
      <c r="J115" t="s">
        <v>137</v>
      </c>
      <c r="K115" t="str">
        <f t="shared" si="10"/>
        <v/>
      </c>
    </row>
    <row r="116" spans="10:11" x14ac:dyDescent="0.25">
      <c r="J116" t="s">
        <v>138</v>
      </c>
      <c r="K116" t="str">
        <f t="shared" si="10"/>
        <v/>
      </c>
    </row>
    <row r="117" spans="10:11" x14ac:dyDescent="0.25">
      <c r="J117" t="s">
        <v>139</v>
      </c>
      <c r="K117" t="str">
        <f t="shared" si="10"/>
        <v/>
      </c>
    </row>
    <row r="118" spans="10:11" x14ac:dyDescent="0.25">
      <c r="J118" t="s">
        <v>140</v>
      </c>
      <c r="K118" t="str">
        <f t="shared" si="10"/>
        <v/>
      </c>
    </row>
    <row r="119" spans="10:11" x14ac:dyDescent="0.25">
      <c r="J119" t="s">
        <v>2280</v>
      </c>
      <c r="K119" t="str">
        <f>REPLACE(J119,6,3,I2)</f>
        <v>4.4. ABC Market Size and Forecast, by Region (2024-2032)</v>
      </c>
    </row>
    <row r="120" spans="10:11" x14ac:dyDescent="0.25">
      <c r="J120" t="s">
        <v>2281</v>
      </c>
      <c r="K120" t="str">
        <f>J120</f>
        <v>&lt;em&gt;4.4.1. North America&lt;/em&gt;</v>
      </c>
    </row>
    <row r="121" spans="10:11" x14ac:dyDescent="0.25">
      <c r="J121" t="s">
        <v>2282</v>
      </c>
      <c r="K121" t="str">
        <f>J121</f>
        <v>&lt;em&gt;4.4.2. Europe&lt;/em&gt;</v>
      </c>
    </row>
    <row r="122" spans="10:11" x14ac:dyDescent="0.25">
      <c r="J122" t="s">
        <v>2283</v>
      </c>
      <c r="K122" t="str">
        <f>J122</f>
        <v>&lt;em&gt;4.4.3. Asia Pacific&lt;/em&gt;</v>
      </c>
    </row>
    <row r="123" spans="10:11" x14ac:dyDescent="0.25">
      <c r="J123" t="s">
        <v>2284</v>
      </c>
      <c r="K123" t="str">
        <f>J123</f>
        <v>&lt;em&gt;4.4.4. Middle East and Africa&lt;/em&gt;</v>
      </c>
    </row>
    <row r="124" spans="10:11" x14ac:dyDescent="0.25">
      <c r="J124" t="s">
        <v>2285</v>
      </c>
      <c r="K124" t="str">
        <f>J124</f>
        <v>&lt;em&gt;4.4.5. South America&lt;/em&gt;</v>
      </c>
    </row>
    <row r="126" spans="10:11" x14ac:dyDescent="0.25">
      <c r="J126" t="s">
        <v>827</v>
      </c>
      <c r="K126" t="str">
        <f>REPLACE(J126,FIND("ABC",J126,1),3,I2)</f>
        <v>&lt;strong&gt;5. North America ABC Market Size and Forecast by Segmentation (by Value in USD Million) 2024-2032&lt;/strong&gt;</v>
      </c>
    </row>
    <row r="127" spans="10:11" x14ac:dyDescent="0.25">
      <c r="J127" t="s">
        <v>828</v>
      </c>
      <c r="K127" t="str">
        <f>REPLACE(IF(A2&gt;0,REPLACE(J127,53,8,A2),""),20,3,I2)</f>
        <v>5.1. North America ABC Market Size and Forecast, by AA (2024-2032)</v>
      </c>
    </row>
    <row r="128" spans="10:11" x14ac:dyDescent="0.25">
      <c r="J128" t="s">
        <v>236</v>
      </c>
      <c r="K128" t="str">
        <f>IF(A4&gt;0,REPLACE(J128,12,3,A4),"")</f>
        <v/>
      </c>
    </row>
    <row r="129" spans="10:11" x14ac:dyDescent="0.25">
      <c r="J129" t="s">
        <v>237</v>
      </c>
      <c r="K129" t="str">
        <f>IF(A5&gt;0,REPLACE(J129,12,3,A5),"")</f>
        <v/>
      </c>
    </row>
    <row r="130" spans="10:11" x14ac:dyDescent="0.25">
      <c r="J130" t="s">
        <v>238</v>
      </c>
      <c r="K130" t="str">
        <f>IF(A6&gt;0,REPLACE(J130,12,3,A6),"")</f>
        <v/>
      </c>
    </row>
    <row r="131" spans="10:11" x14ac:dyDescent="0.25">
      <c r="J131" t="s">
        <v>239</v>
      </c>
      <c r="K131" t="str">
        <f>IF(A7&gt;0,REPLACE(J131,12,3,A7),"")</f>
        <v/>
      </c>
    </row>
    <row r="132" spans="10:11" x14ac:dyDescent="0.25">
      <c r="J132" t="s">
        <v>240</v>
      </c>
      <c r="K132" t="str">
        <f>IF(A8&gt;0,REPLACE(J132,12,3,A8),"")</f>
        <v/>
      </c>
    </row>
    <row r="133" spans="10:11" x14ac:dyDescent="0.25">
      <c r="J133" t="s">
        <v>241</v>
      </c>
      <c r="K133" t="str">
        <f>IF(A9&gt;0,REPLACE(J133,12,3,A9),"")</f>
        <v/>
      </c>
    </row>
    <row r="134" spans="10:11" x14ac:dyDescent="0.25">
      <c r="J134" t="s">
        <v>242</v>
      </c>
      <c r="K134" t="str">
        <f>IF(A10&gt;0,REPLACE(J134,12,3,A10),"")</f>
        <v/>
      </c>
    </row>
    <row r="135" spans="10:11" x14ac:dyDescent="0.25">
      <c r="J135" t="s">
        <v>243</v>
      </c>
      <c r="K135" t="str">
        <f>IF(A11&gt;0,REPLACE(J135,12,3,A11),"")</f>
        <v/>
      </c>
    </row>
    <row r="136" spans="10:11" x14ac:dyDescent="0.25">
      <c r="J136" t="s">
        <v>244</v>
      </c>
      <c r="K136" t="str">
        <f>IF(A12&gt;0,REPLACE(J136,12,3,A12),"")</f>
        <v/>
      </c>
    </row>
    <row r="137" spans="10:11" x14ac:dyDescent="0.25">
      <c r="J137" t="s">
        <v>245</v>
      </c>
      <c r="K137" t="str">
        <f>IF(A13&gt;0,REPLACE(J137,13,4,A13),"")</f>
        <v/>
      </c>
    </row>
    <row r="138" spans="10:11" x14ac:dyDescent="0.25">
      <c r="J138" t="s">
        <v>246</v>
      </c>
      <c r="K138" t="str">
        <f>IF(A14&gt;0,REPLACE(J138,13,4,A14),"")</f>
        <v/>
      </c>
    </row>
    <row r="139" spans="10:11" x14ac:dyDescent="0.25">
      <c r="J139" t="s">
        <v>247</v>
      </c>
      <c r="K139" t="str">
        <f>IF(A15&gt;0,REPLACE(J139,13,4,A15),"")</f>
        <v/>
      </c>
    </row>
    <row r="140" spans="10:11" x14ac:dyDescent="0.25">
      <c r="J140" t="s">
        <v>248</v>
      </c>
      <c r="K140" t="str">
        <f>IF(A16&gt;0,REPLACE(J140,13,4,A16),"")</f>
        <v/>
      </c>
    </row>
    <row r="141" spans="10:11" x14ac:dyDescent="0.25">
      <c r="J141" t="s">
        <v>249</v>
      </c>
      <c r="K141" t="str">
        <f>IF(A17&gt;0,REPLACE(J141,13,4,A17),"")</f>
        <v/>
      </c>
    </row>
    <row r="142" spans="10:11" x14ac:dyDescent="0.25">
      <c r="J142" t="s">
        <v>250</v>
      </c>
      <c r="K142" t="str">
        <f>IF(A18&gt;0,REPLACE(J142,13,4,A18),"")</f>
        <v/>
      </c>
    </row>
    <row r="143" spans="10:11" x14ac:dyDescent="0.25">
      <c r="J143" t="s">
        <v>829</v>
      </c>
      <c r="K143" t="str">
        <f>REPLACE(IF(B2&gt;0,REPLACE(J143,53,8,B2),""),20,3,I2)</f>
        <v>5.2. North America ABC Market Size and Forecast, by BB (2024-2032)</v>
      </c>
    </row>
    <row r="144" spans="10:11" x14ac:dyDescent="0.25">
      <c r="J144" t="s">
        <v>251</v>
      </c>
      <c r="K144" t="str">
        <f>IF(B4&gt;0,REPLACE(J144,12,3,B4),"")</f>
        <v/>
      </c>
    </row>
    <row r="145" spans="10:11" x14ac:dyDescent="0.25">
      <c r="J145" t="s">
        <v>252</v>
      </c>
      <c r="K145" t="str">
        <f>IF(B5&gt;0,REPLACE(J145,12,3,B5),"")</f>
        <v/>
      </c>
    </row>
    <row r="146" spans="10:11" x14ac:dyDescent="0.25">
      <c r="J146" t="s">
        <v>253</v>
      </c>
      <c r="K146" t="str">
        <f>IF(B6&gt;0,REPLACE(J146,12,3,B6),"")</f>
        <v/>
      </c>
    </row>
    <row r="147" spans="10:11" x14ac:dyDescent="0.25">
      <c r="J147" t="s">
        <v>254</v>
      </c>
      <c r="K147" t="str">
        <f>IF(B7&gt;0,REPLACE(J147,12,3,B7),"")</f>
        <v/>
      </c>
    </row>
    <row r="148" spans="10:11" x14ac:dyDescent="0.25">
      <c r="J148" t="s">
        <v>255</v>
      </c>
      <c r="K148" t="str">
        <f>IF(B8&gt;0,REPLACE(J148,12,3,B8),"")</f>
        <v/>
      </c>
    </row>
    <row r="149" spans="10:11" x14ac:dyDescent="0.25">
      <c r="J149" t="s">
        <v>256</v>
      </c>
      <c r="K149" t="str">
        <f>IF(B9&gt;0,REPLACE(J149,12,3,B9),"")</f>
        <v/>
      </c>
    </row>
    <row r="150" spans="10:11" x14ac:dyDescent="0.25">
      <c r="J150" t="s">
        <v>257</v>
      </c>
      <c r="K150" t="str">
        <f>IF(B10&gt;0,REPLACE(J150,12,3,B10),"")</f>
        <v/>
      </c>
    </row>
    <row r="151" spans="10:11" x14ac:dyDescent="0.25">
      <c r="J151" t="s">
        <v>258</v>
      </c>
      <c r="K151" t="str">
        <f>IF(B11&gt;0,REPLACE(J151,12,3,B11),"")</f>
        <v/>
      </c>
    </row>
    <row r="152" spans="10:11" x14ac:dyDescent="0.25">
      <c r="J152" t="s">
        <v>259</v>
      </c>
      <c r="K152" t="str">
        <f>IF(B12&gt;0,REPLACE(J152,12,3,B12),"")</f>
        <v/>
      </c>
    </row>
    <row r="153" spans="10:11" x14ac:dyDescent="0.25">
      <c r="J153" t="s">
        <v>260</v>
      </c>
      <c r="K153" t="str">
        <f>IF(B13&gt;0,REPLACE(J153,13,4,B13),"")</f>
        <v/>
      </c>
    </row>
    <row r="154" spans="10:11" x14ac:dyDescent="0.25">
      <c r="J154" t="s">
        <v>261</v>
      </c>
      <c r="K154" t="str">
        <f>IF(B14&gt;0,REPLACE(J154,13,4,B14),"")</f>
        <v/>
      </c>
    </row>
    <row r="155" spans="10:11" x14ac:dyDescent="0.25">
      <c r="J155" t="s">
        <v>262</v>
      </c>
      <c r="K155" t="str">
        <f>IF(B15&gt;0,REPLACE(J155,13,4,B15),"")</f>
        <v/>
      </c>
    </row>
    <row r="156" spans="10:11" x14ac:dyDescent="0.25">
      <c r="J156" t="s">
        <v>263</v>
      </c>
      <c r="K156" t="str">
        <f>IF(B16&gt;0,REPLACE(J156,13,4,B16),"")</f>
        <v/>
      </c>
    </row>
    <row r="157" spans="10:11" x14ac:dyDescent="0.25">
      <c r="J157" t="s">
        <v>264</v>
      </c>
      <c r="K157" t="str">
        <f>IF(B17&gt;0,REPLACE(J157,13,4,B17),"")</f>
        <v/>
      </c>
    </row>
    <row r="158" spans="10:11" x14ac:dyDescent="0.25">
      <c r="J158" t="s">
        <v>265</v>
      </c>
      <c r="K158" t="str">
        <f>IF(B18&gt;0,REPLACE(J158,13,4,B18),"")</f>
        <v/>
      </c>
    </row>
    <row r="159" spans="10:11" x14ac:dyDescent="0.25">
      <c r="J159" t="s">
        <v>830</v>
      </c>
      <c r="K159" t="str">
        <f>REPLACE(IF(C2&gt;0,REPLACE(J159,53,8,C2),""),20,3,I2)</f>
        <v>5.3. North America ABC Market Size and Forecast, by CC (2024-2032)</v>
      </c>
    </row>
    <row r="160" spans="10:11" x14ac:dyDescent="0.25">
      <c r="J160" t="s">
        <v>399</v>
      </c>
      <c r="K160" t="str">
        <f>IF(C4&gt;0,REPLACE(J160,12,3,C4),"")</f>
        <v/>
      </c>
    </row>
    <row r="161" spans="10:11" x14ac:dyDescent="0.25">
      <c r="J161" t="s">
        <v>400</v>
      </c>
      <c r="K161" t="str">
        <f>IF(C5&gt;0,REPLACE(J161,12,3,C5),"")</f>
        <v/>
      </c>
    </row>
    <row r="162" spans="10:11" x14ac:dyDescent="0.25">
      <c r="J162" t="s">
        <v>401</v>
      </c>
      <c r="K162" t="str">
        <f>IF(C6&gt;0,REPLACE(J162,12,3,C6),"")</f>
        <v/>
      </c>
    </row>
    <row r="163" spans="10:11" x14ac:dyDescent="0.25">
      <c r="J163" t="s">
        <v>402</v>
      </c>
      <c r="K163" t="str">
        <f>IF(C7&gt;0,REPLACE(J163,12,3,C7),"")</f>
        <v/>
      </c>
    </row>
    <row r="164" spans="10:11" x14ac:dyDescent="0.25">
      <c r="J164" t="s">
        <v>403</v>
      </c>
      <c r="K164" t="str">
        <f>IF(C8&gt;0,REPLACE(J164,12,3,C8),"")</f>
        <v/>
      </c>
    </row>
    <row r="165" spans="10:11" x14ac:dyDescent="0.25">
      <c r="J165" t="s">
        <v>404</v>
      </c>
      <c r="K165" t="str">
        <f>IF(C9&gt;0,REPLACE(J165,12,3,C9),"")</f>
        <v/>
      </c>
    </row>
    <row r="166" spans="10:11" x14ac:dyDescent="0.25">
      <c r="J166" t="s">
        <v>405</v>
      </c>
      <c r="K166" t="str">
        <f>IF(C10&gt;0,REPLACE(J166,12,3,C10),"")</f>
        <v/>
      </c>
    </row>
    <row r="167" spans="10:11" x14ac:dyDescent="0.25">
      <c r="J167" t="s">
        <v>406</v>
      </c>
      <c r="K167" t="str">
        <f>IF(C11&gt;0,REPLACE(J167,12,3,C11),"")</f>
        <v/>
      </c>
    </row>
    <row r="168" spans="10:11" x14ac:dyDescent="0.25">
      <c r="J168" t="s">
        <v>407</v>
      </c>
      <c r="K168" t="str">
        <f>IF(C12&gt;0,REPLACE(J168,12,3,C12),"")</f>
        <v/>
      </c>
    </row>
    <row r="169" spans="10:11" x14ac:dyDescent="0.25">
      <c r="J169" t="s">
        <v>408</v>
      </c>
      <c r="K169" t="str">
        <f>IF(C13&gt;0,REPLACE(J169,13,4,C13),"")</f>
        <v/>
      </c>
    </row>
    <row r="170" spans="10:11" x14ac:dyDescent="0.25">
      <c r="J170" t="s">
        <v>409</v>
      </c>
      <c r="K170" t="str">
        <f>IF(C14&gt;0,REPLACE(J170,13,4,C14),"")</f>
        <v/>
      </c>
    </row>
    <row r="171" spans="10:11" x14ac:dyDescent="0.25">
      <c r="J171" t="s">
        <v>410</v>
      </c>
      <c r="K171" t="str">
        <f>IF(C15&gt;0,REPLACE(J171,13,4,C15),"")</f>
        <v/>
      </c>
    </row>
    <row r="172" spans="10:11" x14ac:dyDescent="0.25">
      <c r="J172" t="s">
        <v>411</v>
      </c>
      <c r="K172" t="str">
        <f>IF(C16&gt;0,REPLACE(J172,13,4,C16),"")</f>
        <v/>
      </c>
    </row>
    <row r="173" spans="10:11" x14ac:dyDescent="0.25">
      <c r="J173" t="s">
        <v>412</v>
      </c>
      <c r="K173" t="str">
        <f>IF(C17&gt;0,REPLACE(J173,13,4,C17),"")</f>
        <v/>
      </c>
    </row>
    <row r="174" spans="10:11" x14ac:dyDescent="0.25">
      <c r="J174" t="s">
        <v>413</v>
      </c>
      <c r="K174" t="str">
        <f>IF(C18&gt;0,REPLACE(J174,13,4,C18),"")</f>
        <v/>
      </c>
    </row>
    <row r="175" spans="10:11" x14ac:dyDescent="0.25">
      <c r="J175" t="s">
        <v>2286</v>
      </c>
      <c r="K175" t="str">
        <f>REPLACE(J175,20,3,I2)</f>
        <v>5.4. North America ABC Market Size and Forecast, by Country (2024-2032)</v>
      </c>
    </row>
    <row r="176" spans="10:11" x14ac:dyDescent="0.25">
      <c r="J176" t="s">
        <v>2287</v>
      </c>
      <c r="K176" t="str">
        <f>J176</f>
        <v>&lt;strong&gt;&lt;em&gt;5.4.1. United States&lt;/em&gt;&lt;/strong&gt;</v>
      </c>
    </row>
    <row r="177" spans="10:11" x14ac:dyDescent="0.25">
      <c r="J177" t="s">
        <v>2288</v>
      </c>
      <c r="K177" t="str">
        <f>REPLACE(IF(A2&gt;0,REPLACE(J177,61,8,A2),""),28,3,I2)</f>
        <v>&lt;em&gt;5.4.1.1. United States ABC Market Size and Forecast, by AA (2024-2032)&lt;/em&gt;</v>
      </c>
    </row>
    <row r="178" spans="10:11" x14ac:dyDescent="0.25">
      <c r="J178" t="s">
        <v>2289</v>
      </c>
      <c r="K178" t="str">
        <f>IF(A4&gt;0,REPLACE(J178,16,3,A4),"")</f>
        <v/>
      </c>
    </row>
    <row r="179" spans="10:11" x14ac:dyDescent="0.25">
      <c r="J179" t="s">
        <v>2290</v>
      </c>
      <c r="K179" t="str">
        <f>IF(A5&gt;0,REPLACE(J179,16,3,A5),"")</f>
        <v/>
      </c>
    </row>
    <row r="180" spans="10:11" x14ac:dyDescent="0.25">
      <c r="J180" t="s">
        <v>2291</v>
      </c>
      <c r="K180" t="str">
        <f>IF(A6&gt;0,REPLACE(J180,16,3,A6),"")</f>
        <v/>
      </c>
    </row>
    <row r="181" spans="10:11" x14ac:dyDescent="0.25">
      <c r="J181" t="s">
        <v>2292</v>
      </c>
      <c r="K181" t="str">
        <f>IF(A7&gt;0,REPLACE(J181,16,3,A7),"")</f>
        <v/>
      </c>
    </row>
    <row r="182" spans="10:11" x14ac:dyDescent="0.25">
      <c r="J182" t="s">
        <v>2293</v>
      </c>
      <c r="K182" t="str">
        <f>IF(A8&gt;0,REPLACE(J182,16,3,A8),"")</f>
        <v/>
      </c>
    </row>
    <row r="183" spans="10:11" x14ac:dyDescent="0.25">
      <c r="J183" t="s">
        <v>2294</v>
      </c>
      <c r="K183" t="str">
        <f>IF(A9&gt;0,REPLACE(J183,16,3,A9),"")</f>
        <v/>
      </c>
    </row>
    <row r="184" spans="10:11" x14ac:dyDescent="0.25">
      <c r="J184" t="s">
        <v>2295</v>
      </c>
      <c r="K184" t="str">
        <f>IF(A10&gt;0,REPLACE(J184,16,3,A10),"")</f>
        <v/>
      </c>
    </row>
    <row r="185" spans="10:11" x14ac:dyDescent="0.25">
      <c r="J185" t="s">
        <v>2296</v>
      </c>
      <c r="K185" t="str">
        <f>IF(A11&gt;0,REPLACE(J185,16,3,A11),"")</f>
        <v/>
      </c>
    </row>
    <row r="186" spans="10:11" x14ac:dyDescent="0.25">
      <c r="J186" t="s">
        <v>2297</v>
      </c>
      <c r="K186" t="str">
        <f>IF(A12&gt;0,REPLACE(J186,16,3,A12),"")</f>
        <v/>
      </c>
    </row>
    <row r="187" spans="10:11" x14ac:dyDescent="0.25">
      <c r="J187" t="s">
        <v>2298</v>
      </c>
      <c r="K187" t="str">
        <f>IF(A13&gt;0,REPLACE(J187,17,4,A13),"")</f>
        <v/>
      </c>
    </row>
    <row r="188" spans="10:11" x14ac:dyDescent="0.25">
      <c r="J188" t="s">
        <v>2299</v>
      </c>
      <c r="K188" t="str">
        <f>IF(A14&gt;0,REPLACE(J188,17,4,A14),"")</f>
        <v/>
      </c>
    </row>
    <row r="189" spans="10:11" x14ac:dyDescent="0.25">
      <c r="J189" t="s">
        <v>2300</v>
      </c>
      <c r="K189" t="str">
        <f>IF(A15&gt;0,REPLACE(J189,17,4,A15),"")</f>
        <v/>
      </c>
    </row>
    <row r="190" spans="10:11" x14ac:dyDescent="0.25">
      <c r="J190" t="s">
        <v>2301</v>
      </c>
      <c r="K190" t="str">
        <f>IF(A16&gt;0,REPLACE(J190,17,4,A16),"")</f>
        <v/>
      </c>
    </row>
    <row r="191" spans="10:11" x14ac:dyDescent="0.25">
      <c r="J191" t="s">
        <v>2302</v>
      </c>
      <c r="K191" t="str">
        <f>IF(A17&gt;0,REPLACE(J191,17,4,A17),"")</f>
        <v/>
      </c>
    </row>
    <row r="192" spans="10:11" x14ac:dyDescent="0.25">
      <c r="J192" t="s">
        <v>2303</v>
      </c>
      <c r="K192" t="str">
        <f>IF(A18&gt;0,REPLACE(J192,17,4,A18),"")</f>
        <v/>
      </c>
    </row>
    <row r="193" spans="10:11" x14ac:dyDescent="0.25">
      <c r="J193" t="s">
        <v>2304</v>
      </c>
      <c r="K193" t="str">
        <f>REPLACE(IF(B2&gt;0,REPLACE(J193,61,8,B2),""),28,3,I2)</f>
        <v>&lt;em&gt;5.4.1.2. United States ABC Market Size and Forecast, by BB (2024-2032)&lt;/em&gt;</v>
      </c>
    </row>
    <row r="194" spans="10:11" x14ac:dyDescent="0.25">
      <c r="J194" t="s">
        <v>2305</v>
      </c>
      <c r="K194" t="str">
        <f>IF(B4&gt;0,REPLACE(J194,16,3,B4),"")</f>
        <v/>
      </c>
    </row>
    <row r="195" spans="10:11" x14ac:dyDescent="0.25">
      <c r="J195" t="s">
        <v>2306</v>
      </c>
      <c r="K195" t="str">
        <f>IF(B5&gt;0,REPLACE(J195,16,3,B5),"")</f>
        <v/>
      </c>
    </row>
    <row r="196" spans="10:11" x14ac:dyDescent="0.25">
      <c r="J196" t="s">
        <v>2307</v>
      </c>
      <c r="K196" t="str">
        <f>IF(B6&gt;0,REPLACE(J196,16,3,B6),"")</f>
        <v/>
      </c>
    </row>
    <row r="197" spans="10:11" x14ac:dyDescent="0.25">
      <c r="J197" t="s">
        <v>2308</v>
      </c>
      <c r="K197" t="str">
        <f>IF(B7&gt;0,REPLACE(J197,16,3,B7),"")</f>
        <v/>
      </c>
    </row>
    <row r="198" spans="10:11" x14ac:dyDescent="0.25">
      <c r="J198" t="s">
        <v>2309</v>
      </c>
      <c r="K198" t="str">
        <f>IF(B8&gt;0,REPLACE(J198,16,3,B8),"")</f>
        <v/>
      </c>
    </row>
    <row r="199" spans="10:11" x14ac:dyDescent="0.25">
      <c r="J199" t="s">
        <v>2310</v>
      </c>
      <c r="K199" t="str">
        <f>IF(B9&gt;0,REPLACE(J199,16,3,B9),"")</f>
        <v/>
      </c>
    </row>
    <row r="200" spans="10:11" x14ac:dyDescent="0.25">
      <c r="J200" t="s">
        <v>2311</v>
      </c>
      <c r="K200" t="str">
        <f>IF(B10&gt;0,REPLACE(J200,16,3,B10),"")</f>
        <v/>
      </c>
    </row>
    <row r="201" spans="10:11" x14ac:dyDescent="0.25">
      <c r="J201" t="s">
        <v>2312</v>
      </c>
      <c r="K201" t="str">
        <f>IF(B11&gt;0,REPLACE(J201,16,3,B11),"")</f>
        <v/>
      </c>
    </row>
    <row r="202" spans="10:11" x14ac:dyDescent="0.25">
      <c r="J202" t="s">
        <v>2313</v>
      </c>
      <c r="K202" t="str">
        <f>IF(B12&gt;0,REPLACE(J202,16,3,B12),"")</f>
        <v/>
      </c>
    </row>
    <row r="203" spans="10:11" x14ac:dyDescent="0.25">
      <c r="J203" t="s">
        <v>2314</v>
      </c>
      <c r="K203" t="str">
        <f>IF(B13&gt;0,REPLACE(J203,17,4,B13),"")</f>
        <v/>
      </c>
    </row>
    <row r="204" spans="10:11" x14ac:dyDescent="0.25">
      <c r="J204" t="s">
        <v>2315</v>
      </c>
      <c r="K204" t="str">
        <f>IF(B14&gt;0,REPLACE(J204,17,4,B14),"")</f>
        <v/>
      </c>
    </row>
    <row r="205" spans="10:11" x14ac:dyDescent="0.25">
      <c r="J205" t="s">
        <v>2316</v>
      </c>
      <c r="K205" t="str">
        <f>IF(B15&gt;0,REPLACE(J205,17,4,B15),"")</f>
        <v/>
      </c>
    </row>
    <row r="206" spans="10:11" x14ac:dyDescent="0.25">
      <c r="J206" t="s">
        <v>2317</v>
      </c>
      <c r="K206" t="str">
        <f>IF(B16&gt;0,REPLACE(J206,17,4,B16),"")</f>
        <v/>
      </c>
    </row>
    <row r="207" spans="10:11" x14ac:dyDescent="0.25">
      <c r="J207" t="s">
        <v>2318</v>
      </c>
      <c r="K207" t="str">
        <f>IF(B17&gt;0,REPLACE(J207,17,4,B17),"")</f>
        <v/>
      </c>
    </row>
    <row r="208" spans="10:11" x14ac:dyDescent="0.25">
      <c r="J208" t="s">
        <v>2319</v>
      </c>
      <c r="K208" t="str">
        <f>IF(B18&gt;0,REPLACE(J208,17,4,B18),"")</f>
        <v/>
      </c>
    </row>
    <row r="209" spans="10:11" x14ac:dyDescent="0.25">
      <c r="J209" t="s">
        <v>2320</v>
      </c>
      <c r="K209" t="str">
        <f>REPLACE(IF(C2&gt;0,REPLACE(J209,61,8,C2),""),28,3,I2)</f>
        <v>&lt;em&gt;5.4.1.3. United States ABC Market Size and Forecast, by CC (2024-2032)&lt;/em&gt;</v>
      </c>
    </row>
    <row r="210" spans="10:11" x14ac:dyDescent="0.25">
      <c r="J210" t="s">
        <v>2321</v>
      </c>
      <c r="K210" t="str">
        <f>IF(C4&gt;0,REPLACE(J210,16,3,C4),"")</f>
        <v/>
      </c>
    </row>
    <row r="211" spans="10:11" x14ac:dyDescent="0.25">
      <c r="J211" t="s">
        <v>2322</v>
      </c>
      <c r="K211" t="str">
        <f>IF(C5&gt;0,REPLACE(J211,16,3,C5),"")</f>
        <v/>
      </c>
    </row>
    <row r="212" spans="10:11" x14ac:dyDescent="0.25">
      <c r="J212" t="s">
        <v>2323</v>
      </c>
      <c r="K212" t="str">
        <f>IF(C6&gt;0,REPLACE(J212,16,3,C6),"")</f>
        <v/>
      </c>
    </row>
    <row r="213" spans="10:11" x14ac:dyDescent="0.25">
      <c r="J213" t="s">
        <v>2324</v>
      </c>
      <c r="K213" t="str">
        <f>IF(C7&gt;0,REPLACE(J213,16,3,C7),"")</f>
        <v/>
      </c>
    </row>
    <row r="214" spans="10:11" x14ac:dyDescent="0.25">
      <c r="J214" t="s">
        <v>2325</v>
      </c>
      <c r="K214" t="str">
        <f>IF(C8&gt;0,REPLACE(J214,16,3,C8),"")</f>
        <v/>
      </c>
    </row>
    <row r="215" spans="10:11" x14ac:dyDescent="0.25">
      <c r="J215" t="s">
        <v>2326</v>
      </c>
      <c r="K215" t="str">
        <f>IF(C9&gt;0,REPLACE(J215,16,3,C9),"")</f>
        <v/>
      </c>
    </row>
    <row r="216" spans="10:11" x14ac:dyDescent="0.25">
      <c r="J216" t="s">
        <v>2327</v>
      </c>
      <c r="K216" t="str">
        <f>IF(C10&gt;0,REPLACE(J216,16,3,C10),"")</f>
        <v/>
      </c>
    </row>
    <row r="217" spans="10:11" x14ac:dyDescent="0.25">
      <c r="J217" t="s">
        <v>2328</v>
      </c>
      <c r="K217" t="str">
        <f>IF(C11&gt;0,REPLACE(J217,16,3,C11),"")</f>
        <v/>
      </c>
    </row>
    <row r="218" spans="10:11" x14ac:dyDescent="0.25">
      <c r="J218" t="s">
        <v>2329</v>
      </c>
      <c r="K218" t="str">
        <f>IF(C12&gt;0,REPLACE(J218,16,3,C12),"")</f>
        <v/>
      </c>
    </row>
    <row r="219" spans="10:11" x14ac:dyDescent="0.25">
      <c r="J219" t="s">
        <v>2330</v>
      </c>
      <c r="K219" t="str">
        <f>IF(C13&gt;0,REPLACE(J219,17,4,C13),"")</f>
        <v/>
      </c>
    </row>
    <row r="220" spans="10:11" x14ac:dyDescent="0.25">
      <c r="J220" t="s">
        <v>2331</v>
      </c>
      <c r="K220" t="str">
        <f>IF(C14&gt;0,REPLACE(J220,17,4,C14),"")</f>
        <v/>
      </c>
    </row>
    <row r="221" spans="10:11" x14ac:dyDescent="0.25">
      <c r="J221" t="s">
        <v>2332</v>
      </c>
      <c r="K221" t="str">
        <f>IF(C15&gt;0,REPLACE(J221,17,4,C15),"")</f>
        <v/>
      </c>
    </row>
    <row r="222" spans="10:11" x14ac:dyDescent="0.25">
      <c r="J222" t="s">
        <v>2333</v>
      </c>
      <c r="K222" t="str">
        <f>IF(C16&gt;0,REPLACE(J222,17,4,C16),"")</f>
        <v/>
      </c>
    </row>
    <row r="223" spans="10:11" x14ac:dyDescent="0.25">
      <c r="J223" t="s">
        <v>2334</v>
      </c>
      <c r="K223" t="str">
        <f>IF(C17&gt;0,REPLACE(J223,17,4,C17),"")</f>
        <v/>
      </c>
    </row>
    <row r="224" spans="10:11" x14ac:dyDescent="0.25">
      <c r="J224" t="s">
        <v>2335</v>
      </c>
      <c r="K224" t="str">
        <f>IF(C18&gt;0,REPLACE(J224,17,4,C18),"")</f>
        <v/>
      </c>
    </row>
    <row r="225" spans="10:11" x14ac:dyDescent="0.25">
      <c r="J225" t="s">
        <v>2336</v>
      </c>
      <c r="K225" t="str">
        <f>J225</f>
        <v>&lt;strong&gt;&lt;em&gt;5.4.2. Canada&lt;/em&gt;&lt;/strong&gt;</v>
      </c>
    </row>
    <row r="226" spans="10:11" x14ac:dyDescent="0.25">
      <c r="J226" t="s">
        <v>2337</v>
      </c>
      <c r="K226" t="str">
        <f>REPLACE(IF(A2&gt;0,REPLACE(J226,54,8,A2),""),21,3,I2)</f>
        <v>&lt;em&gt;5.4.2.1. Canada ABC Market Size and Forecast, by AA (2024-2032)&lt;/em&gt;</v>
      </c>
    </row>
    <row r="227" spans="10:11" x14ac:dyDescent="0.25">
      <c r="J227" t="s">
        <v>2338</v>
      </c>
      <c r="K227" t="str">
        <f>IF(A4&gt;0,REPLACE(J227,16,3,A4),"")</f>
        <v/>
      </c>
    </row>
    <row r="228" spans="10:11" x14ac:dyDescent="0.25">
      <c r="J228" t="s">
        <v>2339</v>
      </c>
      <c r="K228" t="str">
        <f>IF(A5&gt;0,REPLACE(J228,16,3,A5),"")</f>
        <v/>
      </c>
    </row>
    <row r="229" spans="10:11" x14ac:dyDescent="0.25">
      <c r="J229" t="s">
        <v>2340</v>
      </c>
      <c r="K229" t="str">
        <f>IF(A6&gt;0,REPLACE(J229,16,3,A6),"")</f>
        <v/>
      </c>
    </row>
    <row r="230" spans="10:11" x14ac:dyDescent="0.25">
      <c r="J230" t="s">
        <v>2341</v>
      </c>
      <c r="K230" t="str">
        <f>IF(A7&gt;0,REPLACE(J230,16,3,A7),"")</f>
        <v/>
      </c>
    </row>
    <row r="231" spans="10:11" x14ac:dyDescent="0.25">
      <c r="J231" t="s">
        <v>2342</v>
      </c>
      <c r="K231" t="str">
        <f>IF(A8&gt;0,REPLACE(J231,16,3,A8),"")</f>
        <v/>
      </c>
    </row>
    <row r="232" spans="10:11" x14ac:dyDescent="0.25">
      <c r="J232" t="s">
        <v>2343</v>
      </c>
      <c r="K232" t="str">
        <f>IF(A9&gt;0,REPLACE(J232,16,3,A9),"")</f>
        <v/>
      </c>
    </row>
    <row r="233" spans="10:11" x14ac:dyDescent="0.25">
      <c r="J233" t="s">
        <v>2344</v>
      </c>
      <c r="K233" t="str">
        <f>IF(A10&gt;0,REPLACE(J233,16,3,A10),"")</f>
        <v/>
      </c>
    </row>
    <row r="234" spans="10:11" x14ac:dyDescent="0.25">
      <c r="J234" t="s">
        <v>2345</v>
      </c>
      <c r="K234" t="str">
        <f>IF(A11&gt;0,REPLACE(J234,16,3,A11),"")</f>
        <v/>
      </c>
    </row>
    <row r="235" spans="10:11" x14ac:dyDescent="0.25">
      <c r="J235" t="s">
        <v>2346</v>
      </c>
      <c r="K235" t="str">
        <f>IF(A12&gt;0,REPLACE(J235,16,3,A12),"")</f>
        <v/>
      </c>
    </row>
    <row r="236" spans="10:11" x14ac:dyDescent="0.25">
      <c r="J236" t="s">
        <v>2347</v>
      </c>
      <c r="K236" t="str">
        <f>IF(A13&gt;0,REPLACE(J236,17,4,A13),"")</f>
        <v/>
      </c>
    </row>
    <row r="237" spans="10:11" x14ac:dyDescent="0.25">
      <c r="J237" t="s">
        <v>2348</v>
      </c>
      <c r="K237" t="str">
        <f>IF(A14&gt;0,REPLACE(J237,17,4,A14),"")</f>
        <v/>
      </c>
    </row>
    <row r="238" spans="10:11" x14ac:dyDescent="0.25">
      <c r="J238" t="s">
        <v>2349</v>
      </c>
      <c r="K238" t="str">
        <f>IF(A15&gt;0,REPLACE(J238,17,4,A15),"")</f>
        <v/>
      </c>
    </row>
    <row r="239" spans="10:11" x14ac:dyDescent="0.25">
      <c r="J239" t="s">
        <v>2350</v>
      </c>
      <c r="K239" t="str">
        <f>IF(A16&gt;0,REPLACE(J239,17,4,A16),"")</f>
        <v/>
      </c>
    </row>
    <row r="240" spans="10:11" x14ac:dyDescent="0.25">
      <c r="J240" t="s">
        <v>2351</v>
      </c>
      <c r="K240" t="str">
        <f>IF(A17&gt;0,REPLACE(J240,17,4,A17),"")</f>
        <v/>
      </c>
    </row>
    <row r="241" spans="10:11" x14ac:dyDescent="0.25">
      <c r="J241" t="s">
        <v>2352</v>
      </c>
      <c r="K241" t="str">
        <f>IF(A18&gt;0,REPLACE(J241,17,4,A18),"")</f>
        <v/>
      </c>
    </row>
    <row r="242" spans="10:11" x14ac:dyDescent="0.25">
      <c r="J242" t="s">
        <v>2353</v>
      </c>
      <c r="K242" t="str">
        <f>REPLACE(IF(B2&gt;0,REPLACE(J242,54,8,B2),""),21,3,I2)</f>
        <v>&lt;em&gt;5.4.2.2. Canada ABC Market Size and Forecast, by BB (2024-2032)&lt;/em&gt;</v>
      </c>
    </row>
    <row r="243" spans="10:11" x14ac:dyDescent="0.25">
      <c r="J243" t="s">
        <v>2354</v>
      </c>
      <c r="K243" t="str">
        <f>IF(B4&gt;0,REPLACE(J243,16,3,B4),"")</f>
        <v/>
      </c>
    </row>
    <row r="244" spans="10:11" x14ac:dyDescent="0.25">
      <c r="J244" t="s">
        <v>2355</v>
      </c>
      <c r="K244" t="str">
        <f>IF(B5&gt;0,REPLACE(J244,16,3,B5),"")</f>
        <v/>
      </c>
    </row>
    <row r="245" spans="10:11" x14ac:dyDescent="0.25">
      <c r="J245" t="s">
        <v>2356</v>
      </c>
      <c r="K245" t="str">
        <f>IF(B6&gt;0,REPLACE(J245,16,3,B6),"")</f>
        <v/>
      </c>
    </row>
    <row r="246" spans="10:11" x14ac:dyDescent="0.25">
      <c r="J246" t="s">
        <v>2357</v>
      </c>
      <c r="K246" t="str">
        <f>IF(B7&gt;0,REPLACE(J246,16,3,B7),"")</f>
        <v/>
      </c>
    </row>
    <row r="247" spans="10:11" x14ac:dyDescent="0.25">
      <c r="J247" t="s">
        <v>2358</v>
      </c>
      <c r="K247" t="str">
        <f>IF(B8&gt;0,REPLACE(J247,16,3,B8),"")</f>
        <v/>
      </c>
    </row>
    <row r="248" spans="10:11" x14ac:dyDescent="0.25">
      <c r="J248" t="s">
        <v>2359</v>
      </c>
      <c r="K248" t="str">
        <f>IF(B9&gt;0,REPLACE(J248,16,3,B9),"")</f>
        <v/>
      </c>
    </row>
    <row r="249" spans="10:11" x14ac:dyDescent="0.25">
      <c r="J249" t="s">
        <v>2360</v>
      </c>
      <c r="K249" t="str">
        <f>IF(B10&gt;0,REPLACE(J249,16,3,B10),"")</f>
        <v/>
      </c>
    </row>
    <row r="250" spans="10:11" x14ac:dyDescent="0.25">
      <c r="J250" t="s">
        <v>2361</v>
      </c>
      <c r="K250" t="str">
        <f>IF(B11&gt;0,REPLACE(J250,16,3,B11),"")</f>
        <v/>
      </c>
    </row>
    <row r="251" spans="10:11" x14ac:dyDescent="0.25">
      <c r="J251" t="s">
        <v>2362</v>
      </c>
      <c r="K251" t="str">
        <f>IF(B12&gt;0,REPLACE(J251,16,3,B12),"")</f>
        <v/>
      </c>
    </row>
    <row r="252" spans="10:11" x14ac:dyDescent="0.25">
      <c r="J252" t="s">
        <v>2363</v>
      </c>
      <c r="K252" t="str">
        <f>IF(B13&gt;0,REPLACE(J252,17,4,B13),"")</f>
        <v/>
      </c>
    </row>
    <row r="253" spans="10:11" x14ac:dyDescent="0.25">
      <c r="J253" t="s">
        <v>2364</v>
      </c>
      <c r="K253" t="str">
        <f>IF(B14&gt;0,REPLACE(J253,17,4,B14),"")</f>
        <v/>
      </c>
    </row>
    <row r="254" spans="10:11" x14ac:dyDescent="0.25">
      <c r="J254" t="s">
        <v>2365</v>
      </c>
      <c r="K254" t="str">
        <f>IF(B15&gt;0,REPLACE(J254,17,4,B15),"")</f>
        <v/>
      </c>
    </row>
    <row r="255" spans="10:11" x14ac:dyDescent="0.25">
      <c r="J255" t="s">
        <v>2366</v>
      </c>
      <c r="K255" t="str">
        <f>IF(B16&gt;0,REPLACE(J255,17,4,B16),"")</f>
        <v/>
      </c>
    </row>
    <row r="256" spans="10:11" x14ac:dyDescent="0.25">
      <c r="J256" t="s">
        <v>2367</v>
      </c>
      <c r="K256" t="str">
        <f>IF(B17&gt;0,REPLACE(J256,17,4,B17),"")</f>
        <v/>
      </c>
    </row>
    <row r="257" spans="10:11" x14ac:dyDescent="0.25">
      <c r="J257" t="s">
        <v>2368</v>
      </c>
      <c r="K257" t="str">
        <f>IF(B18&gt;0,REPLACE(J257,17,4,B18),"")</f>
        <v/>
      </c>
    </row>
    <row r="258" spans="10:11" x14ac:dyDescent="0.25">
      <c r="J258" t="s">
        <v>2369</v>
      </c>
      <c r="K258" t="str">
        <f>REPLACE(IF(C2&gt;0,REPLACE(J258,54,8,C2),""),21,3,I2)</f>
        <v>&lt;em&gt;5.4.2.3. Canada ABC Market Size and Forecast, by CC (2024-2032)&lt;/em&gt;</v>
      </c>
    </row>
    <row r="259" spans="10:11" x14ac:dyDescent="0.25">
      <c r="J259" t="s">
        <v>2370</v>
      </c>
      <c r="K259" t="str">
        <f>IF(C4&gt;0,REPLACE(J259,16,3,C4),"")</f>
        <v/>
      </c>
    </row>
    <row r="260" spans="10:11" x14ac:dyDescent="0.25">
      <c r="J260" t="s">
        <v>2371</v>
      </c>
      <c r="K260" t="str">
        <f>IF(C5&gt;0,REPLACE(J260,16,3,C5),"")</f>
        <v/>
      </c>
    </row>
    <row r="261" spans="10:11" x14ac:dyDescent="0.25">
      <c r="J261" t="s">
        <v>2372</v>
      </c>
      <c r="K261" t="str">
        <f>IF(C6&gt;0,REPLACE(J261,16,3,C6),"")</f>
        <v/>
      </c>
    </row>
    <row r="262" spans="10:11" x14ac:dyDescent="0.25">
      <c r="J262" t="s">
        <v>2373</v>
      </c>
      <c r="K262" t="str">
        <f>IF(C7&gt;0,REPLACE(J262,16,3,C7),"")</f>
        <v/>
      </c>
    </row>
    <row r="263" spans="10:11" x14ac:dyDescent="0.25">
      <c r="J263" t="s">
        <v>2374</v>
      </c>
      <c r="K263" t="str">
        <f>IF(C8&gt;0,REPLACE(J263,16,3,C8),"")</f>
        <v/>
      </c>
    </row>
    <row r="264" spans="10:11" x14ac:dyDescent="0.25">
      <c r="J264" t="s">
        <v>2375</v>
      </c>
      <c r="K264" t="str">
        <f>IF(C9&gt;0,REPLACE(J264,16,3,C9),"")</f>
        <v/>
      </c>
    </row>
    <row r="265" spans="10:11" x14ac:dyDescent="0.25">
      <c r="J265" t="s">
        <v>2376</v>
      </c>
      <c r="K265" t="str">
        <f>IF(C10&gt;0,REPLACE(J265,16,3,C10),"")</f>
        <v/>
      </c>
    </row>
    <row r="266" spans="10:11" x14ac:dyDescent="0.25">
      <c r="J266" t="s">
        <v>2377</v>
      </c>
      <c r="K266" t="str">
        <f>IF(C11&gt;0,REPLACE(J266,16,3,C11),"")</f>
        <v/>
      </c>
    </row>
    <row r="267" spans="10:11" x14ac:dyDescent="0.25">
      <c r="J267" t="s">
        <v>2378</v>
      </c>
      <c r="K267" t="str">
        <f>IF(C12&gt;0,REPLACE(J267,16,3,C12),"")</f>
        <v/>
      </c>
    </row>
    <row r="268" spans="10:11" x14ac:dyDescent="0.25">
      <c r="J268" t="s">
        <v>2379</v>
      </c>
      <c r="K268" t="str">
        <f>IF(C13&gt;0,REPLACE(J268,17,4,C13),"")</f>
        <v/>
      </c>
    </row>
    <row r="269" spans="10:11" x14ac:dyDescent="0.25">
      <c r="J269" t="s">
        <v>2380</v>
      </c>
      <c r="K269" t="str">
        <f>IF(C14&gt;0,REPLACE(J269,17,4,C14),"")</f>
        <v/>
      </c>
    </row>
    <row r="270" spans="10:11" x14ac:dyDescent="0.25">
      <c r="J270" t="s">
        <v>2381</v>
      </c>
      <c r="K270" t="str">
        <f>IF(C15&gt;0,REPLACE(J270,17,4,C15),"")</f>
        <v/>
      </c>
    </row>
    <row r="271" spans="10:11" x14ac:dyDescent="0.25">
      <c r="J271" t="s">
        <v>2382</v>
      </c>
      <c r="K271" t="str">
        <f>IF(C16&gt;0,REPLACE(J271,17,4,C16),"")</f>
        <v/>
      </c>
    </row>
    <row r="272" spans="10:11" x14ac:dyDescent="0.25">
      <c r="J272" t="s">
        <v>2383</v>
      </c>
      <c r="K272" t="str">
        <f>IF(C17&gt;0,REPLACE(J272,17,4,C17),"")</f>
        <v/>
      </c>
    </row>
    <row r="273" spans="10:11" x14ac:dyDescent="0.25">
      <c r="J273" t="s">
        <v>2384</v>
      </c>
      <c r="K273" t="str">
        <f>IF(C18&gt;0,REPLACE(J273,17,4,C18),"")</f>
        <v/>
      </c>
    </row>
    <row r="274" spans="10:11" x14ac:dyDescent="0.25">
      <c r="J274" t="s">
        <v>2385</v>
      </c>
      <c r="K274" t="str">
        <f>J274</f>
        <v>&lt;strong&gt;&lt;em&gt;5.4.3. Mexico&lt;/em&gt;&lt;/strong&gt;</v>
      </c>
    </row>
    <row r="275" spans="10:11" x14ac:dyDescent="0.25">
      <c r="J275" t="s">
        <v>2386</v>
      </c>
      <c r="K275" t="str">
        <f>REPLACE(IF(A2&gt;0,REPLACE(J275,54,8,A2),""),21,3,I2)</f>
        <v>&lt;em&gt;5.4.3.1. Mexico ABC Market Size and Forecast, by AA (2024-2032)&lt;/em&gt;</v>
      </c>
    </row>
    <row r="276" spans="10:11" x14ac:dyDescent="0.25">
      <c r="J276" t="s">
        <v>2387</v>
      </c>
      <c r="K276" t="str">
        <f>IF(A4&gt;0,REPLACE(J276,16,3,A4),"")</f>
        <v/>
      </c>
    </row>
    <row r="277" spans="10:11" x14ac:dyDescent="0.25">
      <c r="J277" t="s">
        <v>2388</v>
      </c>
      <c r="K277" t="str">
        <f>IF(A5&gt;0,REPLACE(J277,16,3,A5),"")</f>
        <v/>
      </c>
    </row>
    <row r="278" spans="10:11" x14ac:dyDescent="0.25">
      <c r="J278" t="s">
        <v>2389</v>
      </c>
      <c r="K278" t="str">
        <f>IF(A6&gt;0,REPLACE(J278,16,3,A6),"")</f>
        <v/>
      </c>
    </row>
    <row r="279" spans="10:11" x14ac:dyDescent="0.25">
      <c r="J279" t="s">
        <v>2390</v>
      </c>
      <c r="K279" t="str">
        <f>IF(A7&gt;0,REPLACE(J279,16,3,A7),"")</f>
        <v/>
      </c>
    </row>
    <row r="280" spans="10:11" x14ac:dyDescent="0.25">
      <c r="J280" t="s">
        <v>2391</v>
      </c>
      <c r="K280" t="str">
        <f>IF(A8&gt;0,REPLACE(J280,16,3,A8),"")</f>
        <v/>
      </c>
    </row>
    <row r="281" spans="10:11" x14ac:dyDescent="0.25">
      <c r="J281" t="s">
        <v>2392</v>
      </c>
      <c r="K281" t="str">
        <f>IF(A9&gt;0,REPLACE(J281,16,3,A9),"")</f>
        <v/>
      </c>
    </row>
    <row r="282" spans="10:11" x14ac:dyDescent="0.25">
      <c r="J282" t="s">
        <v>2393</v>
      </c>
      <c r="K282" t="str">
        <f>IF(A10&gt;0,REPLACE(J282,16,3,A10),"")</f>
        <v/>
      </c>
    </row>
    <row r="283" spans="10:11" x14ac:dyDescent="0.25">
      <c r="J283" t="s">
        <v>2394</v>
      </c>
      <c r="K283" t="str">
        <f>IF(A11&gt;0,REPLACE(J283,16,3,A11),"")</f>
        <v/>
      </c>
    </row>
    <row r="284" spans="10:11" x14ac:dyDescent="0.25">
      <c r="J284" t="s">
        <v>2395</v>
      </c>
      <c r="K284" t="str">
        <f>IF(A12&gt;0,REPLACE(J284,16,3,A12),"")</f>
        <v/>
      </c>
    </row>
    <row r="285" spans="10:11" x14ac:dyDescent="0.25">
      <c r="J285" t="s">
        <v>2396</v>
      </c>
      <c r="K285" t="str">
        <f>IF(A13&gt;0,REPLACE(J285,17,4,A13),"")</f>
        <v/>
      </c>
    </row>
    <row r="286" spans="10:11" x14ac:dyDescent="0.25">
      <c r="J286" t="s">
        <v>2397</v>
      </c>
      <c r="K286" t="str">
        <f>IF(A14&gt;0,REPLACE(J286,17,4,A14),"")</f>
        <v/>
      </c>
    </row>
    <row r="287" spans="10:11" x14ac:dyDescent="0.25">
      <c r="J287" t="s">
        <v>2398</v>
      </c>
      <c r="K287" t="str">
        <f>IF(A15&gt;0,REPLACE(J287,17,4,A15),"")</f>
        <v/>
      </c>
    </row>
    <row r="288" spans="10:11" x14ac:dyDescent="0.25">
      <c r="J288" t="s">
        <v>2399</v>
      </c>
      <c r="K288" t="str">
        <f>IF(A16&gt;0,REPLACE(J288,17,4,A16),"")</f>
        <v/>
      </c>
    </row>
    <row r="289" spans="10:11" x14ac:dyDescent="0.25">
      <c r="J289" t="s">
        <v>2400</v>
      </c>
      <c r="K289" t="str">
        <f>IF(A17&gt;0,REPLACE(J289,17,4,A17),"")</f>
        <v/>
      </c>
    </row>
    <row r="290" spans="10:11" x14ac:dyDescent="0.25">
      <c r="J290" t="s">
        <v>2401</v>
      </c>
      <c r="K290" t="str">
        <f>IF(A18&gt;0,REPLACE(J290,17,4,A18),"")</f>
        <v/>
      </c>
    </row>
    <row r="291" spans="10:11" x14ac:dyDescent="0.25">
      <c r="J291" t="s">
        <v>2402</v>
      </c>
      <c r="K291" t="str">
        <f>REPLACE(IF(B2&gt;0,REPLACE(J291,54,8,B2),""),21,3,I2)</f>
        <v>&lt;em&gt;5.4.3.2. Mexico ABC Market Size and Forecast, by BB (2024-2032)&lt;/em&gt;</v>
      </c>
    </row>
    <row r="292" spans="10:11" x14ac:dyDescent="0.25">
      <c r="J292" t="s">
        <v>2403</v>
      </c>
      <c r="K292" t="str">
        <f>IF(B4&gt;0,REPLACE(J292,16,3,B4),"")</f>
        <v/>
      </c>
    </row>
    <row r="293" spans="10:11" x14ac:dyDescent="0.25">
      <c r="J293" t="s">
        <v>2404</v>
      </c>
      <c r="K293" t="str">
        <f>IF(B5&gt;0,REPLACE(J293,16,3,B5),"")</f>
        <v/>
      </c>
    </row>
    <row r="294" spans="10:11" x14ac:dyDescent="0.25">
      <c r="J294" t="s">
        <v>2405</v>
      </c>
      <c r="K294" t="str">
        <f>IF(B6&gt;0,REPLACE(J294,16,3,B6),"")</f>
        <v/>
      </c>
    </row>
    <row r="295" spans="10:11" x14ac:dyDescent="0.25">
      <c r="J295" t="s">
        <v>2406</v>
      </c>
      <c r="K295" t="str">
        <f>IF(B7&gt;0,REPLACE(J295,16,3,B7),"")</f>
        <v/>
      </c>
    </row>
    <row r="296" spans="10:11" x14ac:dyDescent="0.25">
      <c r="J296" t="s">
        <v>2407</v>
      </c>
      <c r="K296" t="str">
        <f>IF(B8&gt;0,REPLACE(J296,16,3,B8),"")</f>
        <v/>
      </c>
    </row>
    <row r="297" spans="10:11" x14ac:dyDescent="0.25">
      <c r="J297" t="s">
        <v>2408</v>
      </c>
      <c r="K297" t="str">
        <f>IF(B9&gt;0,REPLACE(J297,16,3,B9),"")</f>
        <v/>
      </c>
    </row>
    <row r="298" spans="10:11" x14ac:dyDescent="0.25">
      <c r="J298" t="s">
        <v>2409</v>
      </c>
      <c r="K298" t="str">
        <f>IF(B10&gt;0,REPLACE(J298,16,3,B10),"")</f>
        <v/>
      </c>
    </row>
    <row r="299" spans="10:11" x14ac:dyDescent="0.25">
      <c r="J299" t="s">
        <v>2410</v>
      </c>
      <c r="K299" t="str">
        <f>IF(B11&gt;0,REPLACE(J299,16,3,B11),"")</f>
        <v/>
      </c>
    </row>
    <row r="300" spans="10:11" x14ac:dyDescent="0.25">
      <c r="J300" t="s">
        <v>2411</v>
      </c>
      <c r="K300" t="str">
        <f>IF(B12&gt;0,REPLACE(J300,16,3,B12),"")</f>
        <v/>
      </c>
    </row>
    <row r="301" spans="10:11" x14ac:dyDescent="0.25">
      <c r="J301" t="s">
        <v>2412</v>
      </c>
      <c r="K301" t="str">
        <f>IF(B13&gt;0,REPLACE(J301,17,4,B13),"")</f>
        <v/>
      </c>
    </row>
    <row r="302" spans="10:11" x14ac:dyDescent="0.25">
      <c r="J302" t="s">
        <v>2413</v>
      </c>
      <c r="K302" t="str">
        <f>IF(B14&gt;0,REPLACE(J302,17,4,B14),"")</f>
        <v/>
      </c>
    </row>
    <row r="303" spans="10:11" x14ac:dyDescent="0.25">
      <c r="J303" t="s">
        <v>2414</v>
      </c>
      <c r="K303" t="str">
        <f>IF(B15&gt;0,REPLACE(J303,17,4,B15),"")</f>
        <v/>
      </c>
    </row>
    <row r="304" spans="10:11" x14ac:dyDescent="0.25">
      <c r="J304" t="s">
        <v>2415</v>
      </c>
      <c r="K304" t="str">
        <f>IF(B16&gt;0,REPLACE(J304,17,4,B16),"")</f>
        <v/>
      </c>
    </row>
    <row r="305" spans="10:11" x14ac:dyDescent="0.25">
      <c r="J305" t="s">
        <v>2416</v>
      </c>
      <c r="K305" t="str">
        <f>IF(B17&gt;0,REPLACE(J305,17,4,B17),"")</f>
        <v/>
      </c>
    </row>
    <row r="306" spans="10:11" x14ac:dyDescent="0.25">
      <c r="J306" t="s">
        <v>2417</v>
      </c>
      <c r="K306" t="str">
        <f>IF(B18&gt;0,REPLACE(J306,17,4,B18),"")</f>
        <v/>
      </c>
    </row>
    <row r="307" spans="10:11" x14ac:dyDescent="0.25">
      <c r="J307" t="s">
        <v>2418</v>
      </c>
      <c r="K307" t="str">
        <f>REPLACE(IF(C2&gt;0,REPLACE(J307,54,8,C2),""),21,3,I2)</f>
        <v>&lt;em&gt;5.4.3.3. Mexico ABC Market Size and Forecast, by CC (2024-2032)&lt;/em&gt;</v>
      </c>
    </row>
    <row r="308" spans="10:11" x14ac:dyDescent="0.25">
      <c r="J308" t="s">
        <v>2419</v>
      </c>
      <c r="K308" t="str">
        <f>IF(C4&gt;0,REPLACE(J308,16,3,C4),"")</f>
        <v/>
      </c>
    </row>
    <row r="309" spans="10:11" x14ac:dyDescent="0.25">
      <c r="J309" t="s">
        <v>2420</v>
      </c>
      <c r="K309" t="str">
        <f>IF(C5&gt;0,REPLACE(J309,16,3,C5),"")</f>
        <v/>
      </c>
    </row>
    <row r="310" spans="10:11" x14ac:dyDescent="0.25">
      <c r="J310" t="s">
        <v>2421</v>
      </c>
      <c r="K310" t="str">
        <f>IF(C6&gt;0,REPLACE(J310,16,3,C6),"")</f>
        <v/>
      </c>
    </row>
    <row r="311" spans="10:11" x14ac:dyDescent="0.25">
      <c r="J311" t="s">
        <v>2422</v>
      </c>
      <c r="K311" t="str">
        <f>IF(C7&gt;0,REPLACE(J311,16,3,C7),"")</f>
        <v/>
      </c>
    </row>
    <row r="312" spans="10:11" x14ac:dyDescent="0.25">
      <c r="J312" t="s">
        <v>2423</v>
      </c>
      <c r="K312" t="str">
        <f>IF(C8&gt;0,REPLACE(J312,16,3,C8),"")</f>
        <v/>
      </c>
    </row>
    <row r="313" spans="10:11" x14ac:dyDescent="0.25">
      <c r="J313" t="s">
        <v>2424</v>
      </c>
      <c r="K313" t="str">
        <f>IF(C9&gt;0,REPLACE(J313,16,3,C9),"")</f>
        <v/>
      </c>
    </row>
    <row r="314" spans="10:11" x14ac:dyDescent="0.25">
      <c r="J314" t="s">
        <v>2425</v>
      </c>
      <c r="K314" t="str">
        <f>IF(C10&gt;0,REPLACE(J314,16,3,C10),"")</f>
        <v/>
      </c>
    </row>
    <row r="315" spans="10:11" x14ac:dyDescent="0.25">
      <c r="J315" t="s">
        <v>2426</v>
      </c>
      <c r="K315" t="str">
        <f>IF(C11&gt;0,REPLACE(J315,16,3,C11),"")</f>
        <v/>
      </c>
    </row>
    <row r="316" spans="10:11" x14ac:dyDescent="0.25">
      <c r="J316" t="s">
        <v>2427</v>
      </c>
      <c r="K316" t="str">
        <f>IF(C12&gt;0,REPLACE(J316,16,3,C12),"")</f>
        <v/>
      </c>
    </row>
    <row r="317" spans="10:11" x14ac:dyDescent="0.25">
      <c r="J317" t="s">
        <v>2428</v>
      </c>
      <c r="K317" t="str">
        <f>IF(C13&gt;0,REPLACE(J317,17,4,C13),"")</f>
        <v/>
      </c>
    </row>
    <row r="318" spans="10:11" x14ac:dyDescent="0.25">
      <c r="J318" t="s">
        <v>2429</v>
      </c>
      <c r="K318" t="str">
        <f>IF(C14&gt;0,REPLACE(J318,17,4,C14),"")</f>
        <v/>
      </c>
    </row>
    <row r="319" spans="10:11" x14ac:dyDescent="0.25">
      <c r="J319" t="s">
        <v>2430</v>
      </c>
      <c r="K319" t="str">
        <f>IF(C15&gt;0,REPLACE(J319,17,4,C15),"")</f>
        <v/>
      </c>
    </row>
    <row r="320" spans="10:11" x14ac:dyDescent="0.25">
      <c r="J320" t="s">
        <v>2431</v>
      </c>
      <c r="K320" t="str">
        <f>IF(C16&gt;0,REPLACE(J320,17,4,C16),"")</f>
        <v/>
      </c>
    </row>
    <row r="321" spans="10:11" x14ac:dyDescent="0.25">
      <c r="J321" t="s">
        <v>2432</v>
      </c>
      <c r="K321" t="str">
        <f>IF(C17&gt;0,REPLACE(J321,17,4,C17),"")</f>
        <v/>
      </c>
    </row>
    <row r="322" spans="10:11" x14ac:dyDescent="0.25">
      <c r="J322" t="s">
        <v>2433</v>
      </c>
      <c r="K322" t="str">
        <f>IF(C18&gt;0,REPLACE(J322,17,4,C18),"")</f>
        <v/>
      </c>
    </row>
    <row r="324" spans="10:11" x14ac:dyDescent="0.25">
      <c r="J324" t="s">
        <v>857</v>
      </c>
      <c r="K324" t="str">
        <f>REPLACE(J324,FIND("ABC",J324,1),3,$I$2)</f>
        <v>&lt;strong&gt;6. Europe ABC Market Size and Forecast by Segmentation (by Value in USD Million) 2024-2032&lt;/strong&gt;</v>
      </c>
    </row>
    <row r="325" spans="10:11" x14ac:dyDescent="0.25">
      <c r="J325" t="s">
        <v>858</v>
      </c>
      <c r="K325" t="str">
        <f>REPLACE((IF(A2&gt;0,REPLACE(J325,46,8,A2),"")),13,3,I2)</f>
        <v>6.1. Europe ABC Market Size and Forecast, by AA (2024-2032)</v>
      </c>
    </row>
    <row r="326" spans="10:11" x14ac:dyDescent="0.25">
      <c r="J326" t="s">
        <v>859</v>
      </c>
      <c r="K326" t="str">
        <f>REPLACE((IF(B2&gt;0,REPLACE(J326,46,8,B2),"")),13,3,I2)</f>
        <v>6.2. Europe ABC Market Size and Forecast, by BB (2024-2032)</v>
      </c>
    </row>
    <row r="327" spans="10:11" x14ac:dyDescent="0.25">
      <c r="J327" t="s">
        <v>860</v>
      </c>
      <c r="K327" t="str">
        <f>REPLACE((IF(C2&gt;0,REPLACE(J327,46,8,C2),"")),13,3,I2)</f>
        <v>6.3. Europe ABC Market Size and Forecast, by CC (2024-2032)</v>
      </c>
    </row>
    <row r="328" spans="10:11" x14ac:dyDescent="0.25">
      <c r="J328" t="s">
        <v>2434</v>
      </c>
      <c r="K328" t="str">
        <f>REPLACE(J328,FIND("ABC",J328,1),3,$I$2)</f>
        <v>6.4. Europe ABC Market Size and Forecast, by Country (2024-2032)</v>
      </c>
    </row>
    <row r="329" spans="10:11" x14ac:dyDescent="0.25">
      <c r="J329" t="s">
        <v>2435</v>
      </c>
      <c r="K329" t="str">
        <f>J329</f>
        <v>&lt;strong&gt;&lt;em&gt;6.4.1. United Kingdom&lt;/em&gt;&lt;/strong&gt;</v>
      </c>
    </row>
    <row r="330" spans="10:11" x14ac:dyDescent="0.25">
      <c r="J330" t="s">
        <v>2436</v>
      </c>
      <c r="K330" t="str">
        <f>REPLACE(IF(A2&gt;0,REPLACE(J330,62,8,A2),""),FIND("ABC",J330,1),3,$I$2)</f>
        <v>&lt;em&gt;6.4.1.1. United Kingdom ABC Market Size and Forecast, by AA (2024-2032)&lt;/em&gt;</v>
      </c>
    </row>
    <row r="331" spans="10:11" x14ac:dyDescent="0.25">
      <c r="J331" t="s">
        <v>2437</v>
      </c>
      <c r="K331" t="str">
        <f>REPLACE(IF(B2&gt;0,REPLACE(J331,62,8,B2),""),FIND("ABC",J331,1),3,$I$2)</f>
        <v>&lt;em&gt;6.4.1.2. United Kingdom ABC Market Size and Forecast, by BB (2024-2032)&lt;/em&gt;</v>
      </c>
    </row>
    <row r="332" spans="10:11" x14ac:dyDescent="0.25">
      <c r="J332" t="s">
        <v>2438</v>
      </c>
      <c r="K332" t="str">
        <f>REPLACE(IF(C2&gt;0,REPLACE(J332,62,8,C2),""),FIND("ABC",J332,1),3,$I$2)</f>
        <v>&lt;em&gt;6.4.1.3. United Kingdom ABC Market Size and Forecast, by CC (2024-2032)&lt;/em&gt;</v>
      </c>
    </row>
    <row r="333" spans="10:11" x14ac:dyDescent="0.25">
      <c r="J333" t="s">
        <v>2439</v>
      </c>
      <c r="K333" t="str">
        <f>J333</f>
        <v>&lt;strong&gt;&lt;em&gt;6.4.2. France&lt;/em&gt;&lt;/strong&gt;</v>
      </c>
    </row>
    <row r="334" spans="10:11" x14ac:dyDescent="0.25">
      <c r="J334" t="s">
        <v>2440</v>
      </c>
      <c r="K334" t="str">
        <f>REPLACE(IF(A2&gt;0,REPLACE(J334,54,8,A2),""),FIND("ABC",J334,1),3,$I$2)</f>
        <v>&lt;em&gt;6.4.2.1. France ABC Market Size and Forecast, by AA (2024-2032)&lt;/em&gt;</v>
      </c>
    </row>
    <row r="335" spans="10:11" x14ac:dyDescent="0.25">
      <c r="J335" t="s">
        <v>2441</v>
      </c>
      <c r="K335" t="str">
        <f>REPLACE(IF(B2&gt;0,REPLACE(J335,54,8,B2),""),FIND("ABC",J335,1),3,$I$2)</f>
        <v>&lt;em&gt;6.4.2.2. France ABC Market Size and Forecast, by BB (2024-2032)&lt;/em&gt;</v>
      </c>
    </row>
    <row r="336" spans="10:11" x14ac:dyDescent="0.25">
      <c r="J336" t="s">
        <v>2442</v>
      </c>
      <c r="K336" t="str">
        <f>REPLACE(IF(C2&gt;0,REPLACE(J336,54,8,C2),""),FIND("ABC",J336,1),3,$I$2)</f>
        <v>&lt;em&gt;6.4.2.3. France ABC Market Size and Forecast, by CC (2024-2032)&lt;/em&gt;</v>
      </c>
    </row>
    <row r="337" spans="10:11" x14ac:dyDescent="0.25">
      <c r="J337" t="s">
        <v>2443</v>
      </c>
      <c r="K337" t="str">
        <f>J337</f>
        <v>&lt;strong&gt;&lt;em&gt;6.4.3. Germany&lt;/em&gt;&lt;/strong&gt;</v>
      </c>
    </row>
    <row r="338" spans="10:11" x14ac:dyDescent="0.25">
      <c r="J338" t="s">
        <v>2444</v>
      </c>
      <c r="K338" t="str">
        <f>REPLACE(IF(A2&gt;0,REPLACE(J338,55,8,A2),""),FIND("ABC",J338,1),3,$I$2)</f>
        <v>&lt;em&gt;6.4.3.1. Germany ABC Market Size and Forecast, by AA (2024-2032)&lt;/em&gt;</v>
      </c>
    </row>
    <row r="339" spans="10:11" x14ac:dyDescent="0.25">
      <c r="J339" t="s">
        <v>2445</v>
      </c>
      <c r="K339" t="str">
        <f>REPLACE(IF(B2&gt;0,REPLACE(J339,55,8,B2),""),FIND("ABC",J339,1),3,$I$2)</f>
        <v>&lt;em&gt;6.4.3.2. Germany ABC Market Size and Forecast, by BB (2024-2032)&lt;/em&gt;</v>
      </c>
    </row>
    <row r="340" spans="10:11" x14ac:dyDescent="0.25">
      <c r="J340" t="s">
        <v>2446</v>
      </c>
      <c r="K340" t="str">
        <f>REPLACE(IF(C2&gt;0,REPLACE(J340,55,8,C2),""),FIND("ABC",J340,1),3,$I$2)</f>
        <v>&lt;em&gt;6.4.3.3. Germany ABC Market Size and Forecast, by CC (2024-2032)&lt;/em&gt;</v>
      </c>
    </row>
    <row r="341" spans="10:11" x14ac:dyDescent="0.25">
      <c r="J341" t="s">
        <v>2447</v>
      </c>
      <c r="K341" t="str">
        <f>J341</f>
        <v>&lt;strong&gt;&lt;em&gt;6.4.4. Italy&lt;/em&gt;&lt;/strong&gt;</v>
      </c>
    </row>
    <row r="342" spans="10:11" x14ac:dyDescent="0.25">
      <c r="J342" t="s">
        <v>2448</v>
      </c>
      <c r="K342" t="str">
        <f>REPLACE(IF(A2&gt;0,REPLACE(J342,53,8,A2),""),FIND("ABC",J342,1),3,$I$2)</f>
        <v>&lt;em&gt;6.4.4.1. Italy ABC Market Size and Forecast, by AA (2024-2032)&lt;/em&gt;</v>
      </c>
    </row>
    <row r="343" spans="10:11" x14ac:dyDescent="0.25">
      <c r="J343" t="s">
        <v>2449</v>
      </c>
      <c r="K343" t="str">
        <f>REPLACE(IF(B2&gt;0,REPLACE(J343,53,8,B2),""),FIND("ABC",J343,1),3,$I$2)</f>
        <v>&lt;em&gt;6.4.4.2. Italy ABC Market Size and Forecast, by BB (2024-2032)&lt;/em&gt;</v>
      </c>
    </row>
    <row r="344" spans="10:11" x14ac:dyDescent="0.25">
      <c r="J344" t="s">
        <v>2450</v>
      </c>
      <c r="K344" t="str">
        <f>REPLACE(IF(C2&gt;0,REPLACE(J344,53,8,C2),""),FIND("ABC",J344,1),3,$I$2)</f>
        <v>&lt;em&gt;6.4.4.3. Italy ABC Market Size and Forecast, by CC (2024-2032)&lt;/em&gt;</v>
      </c>
    </row>
    <row r="345" spans="10:11" x14ac:dyDescent="0.25">
      <c r="J345" t="s">
        <v>2451</v>
      </c>
      <c r="K345" t="str">
        <f>J345</f>
        <v>&lt;strong&gt;&lt;em&gt;6.4.5. Spain&lt;/em&gt;&lt;/strong&gt;</v>
      </c>
    </row>
    <row r="346" spans="10:11" x14ac:dyDescent="0.25">
      <c r="J346" t="s">
        <v>2452</v>
      </c>
      <c r="K346" t="str">
        <f>REPLACE(IF(A2&gt;0,REPLACE(J346,53,8,A2),""),FIND("ABC",J346,1),3,$I$2)</f>
        <v>&lt;em&gt;6.4.5.1. Spain ABC Market Size and Forecast, by AA (2024-2032)&lt;/em&gt;</v>
      </c>
    </row>
    <row r="347" spans="10:11" x14ac:dyDescent="0.25">
      <c r="J347" t="s">
        <v>2453</v>
      </c>
      <c r="K347" t="str">
        <f>REPLACE(IF(B2&gt;0,REPLACE(J347,53,8,B2),""),FIND("ABC",J347,1),3,$I$2)</f>
        <v>&lt;em&gt;6.4.5.2. Spain ABC Market Size and Forecast, by BB (2024-2032)&lt;/em&gt;</v>
      </c>
    </row>
    <row r="348" spans="10:11" x14ac:dyDescent="0.25">
      <c r="J348" t="s">
        <v>2454</v>
      </c>
      <c r="K348" t="str">
        <f>REPLACE(IF(C2&gt;0,REPLACE(J348,53,8,C2),""),FIND("ABC",J348,1),3,$I$2)</f>
        <v>&lt;em&gt;6.4.5.3. Spain ABC Market Size and Forecast, by CC (2024-2032)&lt;/em&gt;</v>
      </c>
    </row>
    <row r="349" spans="10:11" x14ac:dyDescent="0.25">
      <c r="J349" t="s">
        <v>2455</v>
      </c>
      <c r="K349" t="str">
        <f>J349</f>
        <v>&lt;strong&gt;&lt;em&gt;6.4.6. Sweden&lt;/em&gt;&lt;/strong&gt;</v>
      </c>
    </row>
    <row r="350" spans="10:11" x14ac:dyDescent="0.25">
      <c r="J350" t="s">
        <v>2456</v>
      </c>
      <c r="K350" t="str">
        <f>REPLACE(IF(A2&gt;0,REPLACE(J350,54,8,A2),""),FIND("ABC",J350,1),3,$I$2)</f>
        <v>&lt;em&gt;6.4.6.1. Sweden ABC Market Size and Forecast, by AA (2024-2032)&lt;/em&gt;</v>
      </c>
    </row>
    <row r="351" spans="10:11" x14ac:dyDescent="0.25">
      <c r="J351" t="s">
        <v>2457</v>
      </c>
      <c r="K351" t="str">
        <f>REPLACE(IF(B2&gt;0,REPLACE(J351,54,8,B2),""),FIND("ABC",J351,1),3,$I$2)</f>
        <v>&lt;em&gt;6.4.6.2. Sweden ABC Market Size and Forecast, by BB (2024-2032)&lt;/em&gt;</v>
      </c>
    </row>
    <row r="352" spans="10:11" x14ac:dyDescent="0.25">
      <c r="J352" t="s">
        <v>2458</v>
      </c>
      <c r="K352" t="str">
        <f>REPLACE(IF(C2&gt;0,REPLACE(J352,54,8,C2),""),FIND("ABC",J352,1),3,$I$2)</f>
        <v>&lt;em&gt;6.4.6.3. Sweden ABC Market Size and Forecast, by CC (2024-2032)&lt;/em&gt;</v>
      </c>
    </row>
    <row r="353" spans="10:11" x14ac:dyDescent="0.25">
      <c r="J353" t="s">
        <v>2459</v>
      </c>
      <c r="K353" t="str">
        <f>J353</f>
        <v>&lt;strong&gt;&lt;em&gt;6.4.7. Austria&lt;/em&gt;&lt;/strong&gt;</v>
      </c>
    </row>
    <row r="354" spans="10:11" x14ac:dyDescent="0.25">
      <c r="J354" t="s">
        <v>2460</v>
      </c>
      <c r="K354" t="str">
        <f>REPLACE(IF(A2&gt;0,REPLACE(J354,55,8,A2),""),FIND("ABC",J354,1),3,$I$2)</f>
        <v>&lt;em&gt;6.4.7.1. Austria ABC Market Size and Forecast, by AA (2024-2032)&lt;/em&gt;</v>
      </c>
    </row>
    <row r="355" spans="10:11" x14ac:dyDescent="0.25">
      <c r="J355" t="s">
        <v>2461</v>
      </c>
      <c r="K355" t="str">
        <f>REPLACE(IF(B2&gt;0,REPLACE(J355,55,8,B2),""),FIND("ABC",J355,1),3,$I$2)</f>
        <v>&lt;em&gt;6.4.7.2. Austria ABC Market Size and Forecast, by BB (2024-2032)&lt;/em&gt;</v>
      </c>
    </row>
    <row r="356" spans="10:11" x14ac:dyDescent="0.25">
      <c r="J356" t="s">
        <v>2462</v>
      </c>
      <c r="K356" t="str">
        <f>REPLACE(IF(C2&gt;0,REPLACE(J356,55,8,C2),""),FIND("ABC",J356,1),3,$I$2)</f>
        <v>&lt;em&gt;6.4.7.3. Austria ABC Market Size and Forecast, by CC (2024-2032)&lt;/em&gt;</v>
      </c>
    </row>
    <row r="357" spans="10:11" x14ac:dyDescent="0.25">
      <c r="J357" t="s">
        <v>2463</v>
      </c>
      <c r="K357" t="str">
        <f>J357</f>
        <v>&lt;strong&gt;&lt;em&gt;6.4.8. Rest of Europe&lt;/em&gt;&lt;/strong&gt;</v>
      </c>
    </row>
    <row r="358" spans="10:11" x14ac:dyDescent="0.25">
      <c r="J358" t="s">
        <v>2464</v>
      </c>
      <c r="K358" t="str">
        <f>REPLACE(IF(A2&gt;0,REPLACE(J358,62,8,A2),""),FIND("ABC",J358,1),3,$I$2)</f>
        <v>&lt;em&gt;6.4.8.1. Rest of Europe ABC Market Size and Forecast, by AA (2024-2032)&lt;/em&gt;</v>
      </c>
    </row>
    <row r="359" spans="10:11" x14ac:dyDescent="0.25">
      <c r="J359" t="s">
        <v>2465</v>
      </c>
      <c r="K359" t="str">
        <f>REPLACE(IF(B2&gt;0,REPLACE(J359,62,8,B2),""),FIND("ABC",J359,1),3,$I$2)</f>
        <v>&lt;em&gt;6.4.8.2. Rest of Europe ABC Market Size and Forecast, by BB (2024-2032)&lt;/em&gt;</v>
      </c>
    </row>
    <row r="360" spans="10:11" x14ac:dyDescent="0.25">
      <c r="J360" t="s">
        <v>2466</v>
      </c>
      <c r="K360" t="str">
        <f>REPLACE(IF(C2&gt;0,REPLACE(J360,62,8,C2),""),FIND("ABC",J360,1),3,$I$2)</f>
        <v>&lt;em&gt;6.4.8.3. Rest of Europe ABC Market Size and Forecast, by CC (2024-2032)&lt;/em&gt;</v>
      </c>
    </row>
    <row r="362" spans="10:11" x14ac:dyDescent="0.25">
      <c r="J362" t="s">
        <v>922</v>
      </c>
      <c r="K362" t="str">
        <f>REPLACE(J362,FIND("ABC",J362,1),3,$I$2)</f>
        <v>&lt;strong&gt;7. Asia Pacific ABC Market Size and Forecast by Segmentation (by Value in USD Million) 2024-2032&lt;/strong&gt;</v>
      </c>
    </row>
    <row r="363" spans="10:11" x14ac:dyDescent="0.25">
      <c r="J363" t="s">
        <v>923</v>
      </c>
      <c r="K363" t="str">
        <f>REPLACE(IF(A2&gt;0,REPLACE(J363,52,8,A2),""),FIND("ABC",J363,1),3,$I$2)</f>
        <v>7.1. Asia Pacific ABC Market Size and Forecast, by AA (2024-2032)</v>
      </c>
    </row>
    <row r="364" spans="10:11" x14ac:dyDescent="0.25">
      <c r="J364" t="s">
        <v>924</v>
      </c>
      <c r="K364" t="str">
        <f>REPLACE(IF(B2&gt;0,REPLACE(J364,52,8,B2),""),FIND("ABC",J364,1),3,$I$2)</f>
        <v>7.2. Asia Pacific ABC Market Size and Forecast, by BB (2024-2032)</v>
      </c>
    </row>
    <row r="365" spans="10:11" x14ac:dyDescent="0.25">
      <c r="J365" t="s">
        <v>925</v>
      </c>
      <c r="K365" t="str">
        <f>REPLACE(IF(C2&gt;0,REPLACE(J365,52,8,C2),""),FIND("ABC",J365,1),3,$I$2)</f>
        <v>7.3. Asia Pacific ABC Market Size and Forecast, by CC (2024-2032)</v>
      </c>
    </row>
    <row r="366" spans="10:11" x14ac:dyDescent="0.25">
      <c r="J366" t="s">
        <v>2467</v>
      </c>
      <c r="K366" t="str">
        <f>REPLACE(J366,FIND("ABC",J366,1),3,I2)</f>
        <v>7.4. Asia Pacific ABC Market Size and Forecast, by Country (2024-2032)</v>
      </c>
    </row>
    <row r="367" spans="10:11" x14ac:dyDescent="0.25">
      <c r="J367" t="s">
        <v>2468</v>
      </c>
      <c r="K367" t="str">
        <f>J367</f>
        <v>&lt;strong&gt;&lt;em&gt;7.4.1. China&lt;/em&gt;&lt;/strong&gt;</v>
      </c>
    </row>
    <row r="368" spans="10:11" x14ac:dyDescent="0.25">
      <c r="J368" t="s">
        <v>2469</v>
      </c>
      <c r="K368" t="str">
        <f>REPLACE(IF(A2&gt;0,REPLACE(J368,53,8,A2),""),FIND("ABC",J368,1),3,$I$2)</f>
        <v>&lt;em&gt;7.4.1.1. China ABC Market Size and Forecast, by AA (2024-2032)&lt;/em&gt;</v>
      </c>
    </row>
    <row r="369" spans="10:11" x14ac:dyDescent="0.25">
      <c r="J369" t="s">
        <v>2470</v>
      </c>
      <c r="K369" t="str">
        <f>REPLACE(IF(B2&gt;0,REPLACE(J369,53,8,B2),""),FIND("ABC",J369,1),3,$I$2)</f>
        <v>&lt;em&gt;7.4.1.2. China ABC Market Size and Forecast, by BB (2024-2032)&lt;/em&gt;</v>
      </c>
    </row>
    <row r="370" spans="10:11" x14ac:dyDescent="0.25">
      <c r="J370" t="s">
        <v>2471</v>
      </c>
      <c r="K370" t="str">
        <f>REPLACE(IF(C2&gt;0,REPLACE(J370,53,8,C2),""),FIND("ABC",J370,1),3,$I$2)</f>
        <v>&lt;em&gt;7.4.1.3. China ABC Market Size and Forecast, by CC (2024-2032)&lt;/em&gt;</v>
      </c>
    </row>
    <row r="371" spans="10:11" x14ac:dyDescent="0.25">
      <c r="J371" t="s">
        <v>2472</v>
      </c>
      <c r="K371" t="str">
        <f>J371</f>
        <v>&lt;strong&gt;&lt;em&gt;7.4.2. S Korea&lt;/em&gt;&lt;/strong&gt;</v>
      </c>
    </row>
    <row r="372" spans="10:11" x14ac:dyDescent="0.25">
      <c r="J372" t="s">
        <v>2473</v>
      </c>
      <c r="K372" t="str">
        <f>REPLACE(IF(A2&gt;0,REPLACE(J372,55,8,A2),""),FIND("ABC",J372,1),3,$I$2)</f>
        <v>&lt;em&gt;7.4.2.1. S Korea ABC Market Size and Forecast, by AA (2024-2032)&lt;/em&gt;</v>
      </c>
    </row>
    <row r="373" spans="10:11" x14ac:dyDescent="0.25">
      <c r="J373" t="s">
        <v>2474</v>
      </c>
      <c r="K373" t="str">
        <f>REPLACE(IF(B2&gt;0,REPLACE(J373,55,8,B2),""),FIND("ABC",J373,1),3,$I$2)</f>
        <v>&lt;em&gt;7.4.2.2. S Korea ABC Market Size and Forecast, by BB (2024-2032)&lt;/em&gt;</v>
      </c>
    </row>
    <row r="374" spans="10:11" x14ac:dyDescent="0.25">
      <c r="J374" t="s">
        <v>2475</v>
      </c>
      <c r="K374" t="str">
        <f>REPLACE(IF(C2&gt;0,REPLACE(J374,55,8,C2),""),FIND("ABC",J374,1),3,$I$2)</f>
        <v>&lt;em&gt;7.4.2.3. S Korea ABC Market Size and Forecast, by CC (2024-2032)&lt;/em&gt;</v>
      </c>
    </row>
    <row r="375" spans="10:11" x14ac:dyDescent="0.25">
      <c r="J375" t="s">
        <v>2476</v>
      </c>
      <c r="K375" t="str">
        <f>J375</f>
        <v>&lt;strong&gt;&lt;em&gt;7.4.3. Japan&lt;/em&gt;&lt;/strong&gt;</v>
      </c>
    </row>
    <row r="376" spans="10:11" x14ac:dyDescent="0.25">
      <c r="J376" t="s">
        <v>2477</v>
      </c>
      <c r="K376" t="str">
        <f>REPLACE(IF(A2&gt;0,REPLACE(J376,53,8,A2),""),FIND("ABC",J376,1),3,$I$2)</f>
        <v>&lt;em&gt;7.4.3.1. Japan ABC Market Size and Forecast, by AA (2024-2032)&lt;/em&gt;</v>
      </c>
    </row>
    <row r="377" spans="10:11" x14ac:dyDescent="0.25">
      <c r="J377" t="s">
        <v>2478</v>
      </c>
      <c r="K377" t="str">
        <f>REPLACE(IF(B2&gt;0,REPLACE(J377,53,8,B2),""),FIND("ABC",J377,1),3,$I$2)</f>
        <v>&lt;em&gt;7.4.3.2. Japan ABC Market Size and Forecast, by BB (2024-2032)&lt;/em&gt;</v>
      </c>
    </row>
    <row r="378" spans="10:11" x14ac:dyDescent="0.25">
      <c r="J378" t="s">
        <v>2479</v>
      </c>
      <c r="K378" t="str">
        <f>REPLACE(IF(C2&gt;0,REPLACE(J378,53,8,C2),""),FIND("ABC",J378,1),3,$I$2)</f>
        <v>&lt;em&gt;7.4.3.3. Japan ABC Market Size and Forecast, by CC (2024-2032)&lt;/em&gt;</v>
      </c>
    </row>
    <row r="379" spans="10:11" x14ac:dyDescent="0.25">
      <c r="J379" t="s">
        <v>2480</v>
      </c>
      <c r="K379" t="str">
        <f>J379</f>
        <v>&lt;strong&gt;&lt;em&gt;7.4.4. India&lt;/em&gt;&lt;/strong&gt;</v>
      </c>
    </row>
    <row r="380" spans="10:11" x14ac:dyDescent="0.25">
      <c r="J380" t="s">
        <v>2481</v>
      </c>
      <c r="K380" t="str">
        <f>REPLACE(IF(A2&gt;0,REPLACE(J380,53,8,A2),""),FIND("ABC",J380,1),3,$I$2)</f>
        <v>&lt;em&gt;7.4.4.1. India ABC Market Size and Forecast, by AA (2024-2032)&lt;/em&gt;</v>
      </c>
    </row>
    <row r="381" spans="10:11" x14ac:dyDescent="0.25">
      <c r="J381" t="s">
        <v>2482</v>
      </c>
      <c r="K381" t="str">
        <f>REPLACE(IF(B2&gt;0,REPLACE(J381,53,8,B2),""),FIND("ABC",J381,1),3,$I$2)</f>
        <v>&lt;em&gt;7.4.4.2. India ABC Market Size and Forecast, by BB (2024-2032)&lt;/em&gt;</v>
      </c>
    </row>
    <row r="382" spans="10:11" x14ac:dyDescent="0.25">
      <c r="J382" t="s">
        <v>2483</v>
      </c>
      <c r="K382" t="str">
        <f>REPLACE(IF(C2&gt;0,REPLACE(J382,53,8,C2),""),FIND("ABC",J382,1),3,$I$2)</f>
        <v>&lt;em&gt;7.4.4.3. India ABC Market Size and Forecast, by CC (2024-2032)&lt;/em&gt;</v>
      </c>
    </row>
    <row r="383" spans="10:11" x14ac:dyDescent="0.25">
      <c r="J383" t="s">
        <v>2484</v>
      </c>
      <c r="K383" t="str">
        <f>J383</f>
        <v>&lt;strong&gt;&lt;em&gt;7.4.5. Australia&lt;/em&gt;&lt;/strong&gt;</v>
      </c>
    </row>
    <row r="384" spans="10:11" x14ac:dyDescent="0.25">
      <c r="J384" t="s">
        <v>2485</v>
      </c>
      <c r="K384" t="str">
        <f>REPLACE(IF(A2&gt;0,REPLACE(J384,57,8,A2),""),FIND("ABC",J384,1),3,$I$2)</f>
        <v>&lt;em&gt;7.4.5.1. Australia ABC Market Size and Forecast, by AA (2024-2032)&lt;/em&gt;</v>
      </c>
    </row>
    <row r="385" spans="10:11" x14ac:dyDescent="0.25">
      <c r="J385" t="s">
        <v>2486</v>
      </c>
      <c r="K385" t="str">
        <f>REPLACE(IF(B2&gt;0,REPLACE(J385,57,8,B2),""),FIND("ABC",J385,1),3,$I$2)</f>
        <v>&lt;em&gt;7.4.5.2. Australia ABC Market Size and Forecast, by BB (2024-2032)&lt;/em&gt;</v>
      </c>
    </row>
    <row r="386" spans="10:11" x14ac:dyDescent="0.25">
      <c r="J386" t="s">
        <v>2487</v>
      </c>
      <c r="K386" t="str">
        <f>REPLACE(IF(C2&gt;0,REPLACE(J386,57,8,C2),""),FIND("ABC",J386,1),3,$I$2)</f>
        <v>&lt;em&gt;7.4.5.3. Australia ABC Market Size and Forecast, by CC (2024-2032)&lt;/em&gt;</v>
      </c>
    </row>
    <row r="387" spans="10:11" x14ac:dyDescent="0.25">
      <c r="J387" t="s">
        <v>2488</v>
      </c>
      <c r="K387" t="str">
        <f>J387</f>
        <v>&lt;strong&gt;&lt;em&gt;7.4.6. Indonesia&lt;/em&gt;&lt;/strong&gt;</v>
      </c>
    </row>
    <row r="388" spans="10:11" x14ac:dyDescent="0.25">
      <c r="J388" t="s">
        <v>2489</v>
      </c>
      <c r="K388" t="str">
        <f>REPLACE(IF(A2&gt;0,REPLACE(J388,57,8,A2),""),FIND("ABC",J388,1),3,$I$2)</f>
        <v>&lt;em&gt;7.4.6.1. Indonesia ABC Market Size and Forecast, by AA (2024-2032)&lt;/em&gt;</v>
      </c>
    </row>
    <row r="389" spans="10:11" x14ac:dyDescent="0.25">
      <c r="J389" t="s">
        <v>2490</v>
      </c>
      <c r="K389" t="str">
        <f>REPLACE(IF(B2&gt;0,REPLACE(J389,57,8,B2),""),FIND("ABC",J389,1),3,$I$2)</f>
        <v>&lt;em&gt;7.4.6.2. Indonesia ABC Market Size and Forecast, by BB (2024-2032)&lt;/em&gt;</v>
      </c>
    </row>
    <row r="390" spans="10:11" x14ac:dyDescent="0.25">
      <c r="J390" t="s">
        <v>2491</v>
      </c>
      <c r="K390" t="str">
        <f>REPLACE(IF(C2&gt;0,REPLACE(J390,57,8,C2),""),FIND("ABC",J390,1),3,$I$2)</f>
        <v>&lt;em&gt;7.4.6.3. Indonesia ABC Market Size and Forecast, by CC (2024-2032)&lt;/em&gt;</v>
      </c>
    </row>
    <row r="391" spans="10:11" x14ac:dyDescent="0.25">
      <c r="J391" t="s">
        <v>2492</v>
      </c>
      <c r="K391" t="str">
        <f>J391</f>
        <v>&lt;strong&gt;&lt;em&gt;7.4.7. Malaysia&lt;/em&gt;&lt;/strong&gt;</v>
      </c>
    </row>
    <row r="392" spans="10:11" x14ac:dyDescent="0.25">
      <c r="J392" t="s">
        <v>2493</v>
      </c>
      <c r="K392" t="str">
        <f>REPLACE(IF(A2&gt;0,REPLACE(J392,56,8,A2),""),FIND("ABC",J392,1),3,$I$2)</f>
        <v>&lt;em&gt;7.4.7.1. Malaysia ABC Market Size and Forecast, by AA (2024-2032)&lt;/em&gt;</v>
      </c>
    </row>
    <row r="393" spans="10:11" x14ac:dyDescent="0.25">
      <c r="J393" t="s">
        <v>2494</v>
      </c>
      <c r="K393" t="str">
        <f>REPLACE(IF(B2&gt;0,REPLACE(J393,56,8,B2),""),FIND("ABC",J393,1),3,$I$2)</f>
        <v>&lt;em&gt;7.4.7.2. Malaysia ABC Market Size and Forecast, by BB (2024-2032)&lt;/em&gt;</v>
      </c>
    </row>
    <row r="394" spans="10:11" x14ac:dyDescent="0.25">
      <c r="J394" t="s">
        <v>2495</v>
      </c>
      <c r="K394" t="str">
        <f>REPLACE(IF(C2&gt;0,REPLACE(J394,56,8,C2),""),FIND("ABC",J394,1),3,$I$2)</f>
        <v>&lt;em&gt;7.4.7.3. Malaysia ABC Market Size and Forecast, by CC (2024-2032)&lt;/em&gt;</v>
      </c>
    </row>
    <row r="395" spans="10:11" x14ac:dyDescent="0.25">
      <c r="J395" t="s">
        <v>2496</v>
      </c>
      <c r="K395" t="str">
        <f>J395</f>
        <v>&lt;strong&gt;&lt;em&gt;7.4.8. Vietnam&lt;/em&gt;&lt;/strong&gt;</v>
      </c>
    </row>
    <row r="396" spans="10:11" x14ac:dyDescent="0.25">
      <c r="J396" t="s">
        <v>2497</v>
      </c>
      <c r="K396" t="str">
        <f>REPLACE(IF(A2&gt;0,REPLACE(J396,55,8,A2),""),FIND("ABC",J396,1),3,$I$2)</f>
        <v>&lt;em&gt;7.4.8.1. Vietnam ABC Market Size and Forecast, by AA (2024-2032)&lt;/em&gt;</v>
      </c>
    </row>
    <row r="397" spans="10:11" x14ac:dyDescent="0.25">
      <c r="J397" t="s">
        <v>2498</v>
      </c>
      <c r="K397" t="str">
        <f>REPLACE(IF(B2&gt;0,REPLACE(J397,55,8,B2),""),FIND("ABC",J397,1),3,$I$2)</f>
        <v>&lt;em&gt;7.4.8.2. Vietnam ABC Market Size and Forecast, by BB (2024-2032)&lt;/em&gt;</v>
      </c>
    </row>
    <row r="398" spans="10:11" x14ac:dyDescent="0.25">
      <c r="J398" t="s">
        <v>2499</v>
      </c>
      <c r="K398" t="str">
        <f>REPLACE(IF(C2&gt;0,REPLACE(J398,55,8,C2),""),FIND("ABC",J398,1),3,$I$2)</f>
        <v>&lt;em&gt;7.4.8.3. Vietnam ABC Market Size and Forecast, by CC (2024-2032)&lt;/em&gt;</v>
      </c>
    </row>
    <row r="399" spans="10:11" x14ac:dyDescent="0.25">
      <c r="J399" t="s">
        <v>2500</v>
      </c>
      <c r="K399" t="str">
        <f>J399</f>
        <v>&lt;strong&gt;&lt;em&gt;7.4.9. Taiwan&lt;/em&gt;&lt;/strong&gt;</v>
      </c>
    </row>
    <row r="400" spans="10:11" x14ac:dyDescent="0.25">
      <c r="J400" t="s">
        <v>2501</v>
      </c>
      <c r="K400" t="str">
        <f>REPLACE(IF(A2&gt;0,REPLACE(J400,54,8,A2),""),FIND("ABC",J400,1),3,$I$2)</f>
        <v>&lt;em&gt;7.4.9.1. Taiwan ABC Market Size and Forecast, by AA (2024-2032)&lt;/em&gt;</v>
      </c>
    </row>
    <row r="401" spans="10:11" x14ac:dyDescent="0.25">
      <c r="J401" t="s">
        <v>2502</v>
      </c>
      <c r="K401" t="str">
        <f>REPLACE(IF(B2&gt;0,REPLACE(J401,54,8,B2),""),FIND("ABC",J401,1),3,$I$2)</f>
        <v>&lt;em&gt;7.4.9.2. Taiwan ABC Market Size and Forecast, by BB (2024-2032)&lt;/em&gt;</v>
      </c>
    </row>
    <row r="402" spans="10:11" x14ac:dyDescent="0.25">
      <c r="J402" t="s">
        <v>2503</v>
      </c>
      <c r="K402" t="str">
        <f>REPLACE(IF(C2&gt;0,REPLACE(J402,54,8,C2),""),FIND("ABC",J402,1),3,$I$2)</f>
        <v>&lt;em&gt;7.4.9.3. Taiwan ABC Market Size and Forecast, by CC (2024-2032)&lt;/em&gt;</v>
      </c>
    </row>
    <row r="403" spans="10:11" x14ac:dyDescent="0.25">
      <c r="J403" t="s">
        <v>2504</v>
      </c>
      <c r="K403" t="str">
        <f>J403</f>
        <v>&lt;strong&gt;&lt;em&gt;7.4.10. Rest of Asia Pacific&lt;/em&gt;&lt;/strong&gt;</v>
      </c>
    </row>
    <row r="404" spans="10:11" x14ac:dyDescent="0.25">
      <c r="J404" t="s">
        <v>2505</v>
      </c>
      <c r="K404" t="str">
        <f>REPLACE(IF(A2&gt;0,REPLACE(J404,69,8,A2),""),FIND("ABC",J404,1),3,$I$2)</f>
        <v>&lt;em&gt;7.4.10.1. Rest of Asia Pacific ABC Market Size and Forecast, by AA (2024-2032)&lt;/em&gt;</v>
      </c>
    </row>
    <row r="405" spans="10:11" x14ac:dyDescent="0.25">
      <c r="J405" t="s">
        <v>2506</v>
      </c>
      <c r="K405" t="str">
        <f>REPLACE(IF(B2&gt;0,REPLACE(J405,69,8,B2),""),FIND("ABC",J405,1),3,$I$2)</f>
        <v>&lt;em&gt;7.4.10.2. Rest of Asia Pacific ABC Market Size and Forecast, by BB (2024-2032)&lt;/em&gt;</v>
      </c>
    </row>
    <row r="406" spans="10:11" x14ac:dyDescent="0.25">
      <c r="J406" t="s">
        <v>2507</v>
      </c>
      <c r="K406" t="str">
        <f>REPLACE(IF(C2&gt;0,REPLACE(J406,69,8,C2),""),FIND("ABC",J406,1),3,$I$2)</f>
        <v>&lt;em&gt;7.4.10.3. Rest of Asia Pacific ABC Market Size and Forecast, by CC (2024-2032)&lt;/em&gt;</v>
      </c>
    </row>
    <row r="408" spans="10:11" x14ac:dyDescent="0.25">
      <c r="J408" t="s">
        <v>1001</v>
      </c>
      <c r="K408" t="str">
        <f>REPLACE(J408,FIND("ABC",J408,1),3,I2)</f>
        <v>&lt;strong&gt;8. Middle East and Africa ABC Market Size and Forecast by Segmentation (by Value in USD Million) 2024-2032&lt;/strong&gt;</v>
      </c>
    </row>
    <row r="409" spans="10:11" x14ac:dyDescent="0.25">
      <c r="J409" t="s">
        <v>1002</v>
      </c>
      <c r="K409" t="str">
        <f>REPLACE(IF(A2&gt;0,REPLACE(J409,62,8,A2),""),FIND("ABC",J409,1),3,$I$2)</f>
        <v>8.1. Middle East and Africa ABC Market Size and Forecast, by AA (2024-2032)</v>
      </c>
    </row>
    <row r="410" spans="10:11" x14ac:dyDescent="0.25">
      <c r="J410" t="s">
        <v>1003</v>
      </c>
      <c r="K410" t="str">
        <f>REPLACE(IF(B2&gt;0,REPLACE(J410,62,8,B2),""),FIND("ABC",J410,1),3,$I$2)</f>
        <v>8.2. Middle East and Africa ABC Market Size and Forecast, by BB (2024-2032)</v>
      </c>
    </row>
    <row r="411" spans="10:11" x14ac:dyDescent="0.25">
      <c r="J411" t="s">
        <v>1004</v>
      </c>
      <c r="K411" t="str">
        <f>REPLACE(IF(C2&gt;0,REPLACE(J411,62,8,C2),""),FIND("ABC",J411,1),3,$I$2)</f>
        <v>8.3. Middle East and Africa ABC Market Size and Forecast, by CC (2024-2032)</v>
      </c>
    </row>
    <row r="412" spans="10:11" x14ac:dyDescent="0.25">
      <c r="J412" t="s">
        <v>2508</v>
      </c>
      <c r="K412" t="str">
        <f>REPLACE(J412,FIND("ABC",J412,1),3,$I$2)</f>
        <v>8.4. Middle East and Africa ABC Market Size and Forecast, by Country (2024-2032)</v>
      </c>
    </row>
    <row r="413" spans="10:11" x14ac:dyDescent="0.25">
      <c r="J413" t="s">
        <v>2509</v>
      </c>
      <c r="K413" t="str">
        <f>J413</f>
        <v>&lt;strong&gt;&lt;em&gt;8.4.1. South Africa&lt;/em&gt;&lt;/strong&gt;</v>
      </c>
    </row>
    <row r="414" spans="10:11" x14ac:dyDescent="0.25">
      <c r="J414" t="s">
        <v>2510</v>
      </c>
      <c r="K414" t="str">
        <f>REPLACE(IF(A2&gt;0,REPLACE(J414,60,8,A2),""),FIND("ABC",J414,1),3,$I$2)</f>
        <v>&lt;em&gt;8.4.1.1. South Africa ABC Market Size and Forecast, by AA (2024-2032)&lt;/em&gt;</v>
      </c>
    </row>
    <row r="415" spans="10:11" x14ac:dyDescent="0.25">
      <c r="J415" t="s">
        <v>2511</v>
      </c>
      <c r="K415" t="str">
        <f>REPLACE(IF(B2&gt;0,REPLACE(J415,60,8,B2),""),FIND("ABC",J415,1),3,$I$2)</f>
        <v>&lt;em&gt;8.4.1.2. South Africa ABC Market Size and Forecast, by BB (2024-2032)&lt;/em&gt;</v>
      </c>
    </row>
    <row r="416" spans="10:11" x14ac:dyDescent="0.25">
      <c r="J416" t="s">
        <v>2512</v>
      </c>
      <c r="K416" t="str">
        <f>REPLACE(IF(C2&gt;0,REPLACE(J416,60,8,C2),""),FIND("ABC",J416,1),3,$I$2)</f>
        <v>&lt;em&gt;8.4.1.3. South Africa ABC Market Size and Forecast, by CC (2024-2032)&lt;/em&gt;</v>
      </c>
    </row>
    <row r="417" spans="10:11" x14ac:dyDescent="0.25">
      <c r="J417" t="s">
        <v>2513</v>
      </c>
      <c r="K417" t="str">
        <f>J417</f>
        <v>&lt;strong&gt;&lt;em&gt;8.4.2. GCC&lt;/em&gt;&lt;/strong&gt;</v>
      </c>
    </row>
    <row r="418" spans="10:11" x14ac:dyDescent="0.25">
      <c r="J418" t="s">
        <v>2514</v>
      </c>
      <c r="K418" t="str">
        <f>REPLACE(IF(A2&gt;0,REPLACE(J418,51,8,A2),""),FIND("ABC",J418,1),3,$I$2)</f>
        <v>&lt;em&gt;8.4.2.1. GCC ABC Market Size and Forecast, by AA (2024-2032)&lt;/em&gt;</v>
      </c>
    </row>
    <row r="419" spans="10:11" x14ac:dyDescent="0.25">
      <c r="J419" t="s">
        <v>2515</v>
      </c>
      <c r="K419" t="str">
        <f>REPLACE(IF(B2&gt;0,REPLACE(J419,51,8,B2),""),FIND("ABC",J419,1),3,$I$2)</f>
        <v>&lt;em&gt;8.4.2.2. GCC ABC Market Size and Forecast, by BB (2024-2032)&lt;/em&gt;</v>
      </c>
    </row>
    <row r="420" spans="10:11" x14ac:dyDescent="0.25">
      <c r="J420" t="s">
        <v>2516</v>
      </c>
      <c r="K420" t="str">
        <f>REPLACE(IF(C2&gt;0,REPLACE(J420,51,8,C2),""),FIND("ABC",J420,1),3,$I$2)</f>
        <v>&lt;em&gt;8.4.2.3. GCC ABC Market Size and Forecast, by CC (2024-2032)&lt;/em&gt;</v>
      </c>
    </row>
    <row r="421" spans="10:11" x14ac:dyDescent="0.25">
      <c r="J421" t="s">
        <v>2517</v>
      </c>
      <c r="K421" t="str">
        <f>J421</f>
        <v>&lt;strong&gt;&lt;em&gt;8.4.3. Nigeria&lt;/em&gt;&lt;/strong&gt;</v>
      </c>
    </row>
    <row r="422" spans="10:11" x14ac:dyDescent="0.25">
      <c r="J422" t="s">
        <v>2518</v>
      </c>
      <c r="K422" t="str">
        <f>REPLACE(IF(A2&gt;0,REPLACE(J422,55,8,A2),""),FIND("ABC",J422,1),3,$I$2)</f>
        <v>&lt;em&gt;8.4.3.1. Nigeria ABC Market Size and Forecast, by AA (2024-2032)&lt;/em&gt;</v>
      </c>
    </row>
    <row r="423" spans="10:11" x14ac:dyDescent="0.25">
      <c r="J423" t="s">
        <v>2519</v>
      </c>
      <c r="K423" t="str">
        <f>REPLACE(IF(B2&gt;0,REPLACE(J423,55,8,B2),""),FIND("ABC",J423,1),3,$I$2)</f>
        <v>&lt;em&gt;8.4.3.2. Nigeria ABC Market Size and Forecast, by BB (2024-2032)&lt;/em&gt;</v>
      </c>
    </row>
    <row r="424" spans="10:11" x14ac:dyDescent="0.25">
      <c r="J424" t="s">
        <v>2520</v>
      </c>
      <c r="K424" t="str">
        <f>REPLACE(IF(C2&gt;0,REPLACE(J424,55,8,C2),""),FIND("ABC",J424,1),3,$I$2)</f>
        <v>&lt;em&gt;8.4.3.3. Nigeria ABC Market Size and Forecast, by CC (2024-2032)&lt;/em&gt;</v>
      </c>
    </row>
    <row r="425" spans="10:11" x14ac:dyDescent="0.25">
      <c r="J425" t="s">
        <v>2521</v>
      </c>
      <c r="K425" t="str">
        <f>J425</f>
        <v>&lt;strong&gt;&lt;em&gt;8.4.4. Rest of ME&amp;amp;A&lt;/em&gt;&lt;/strong&gt;</v>
      </c>
    </row>
    <row r="426" spans="10:11" x14ac:dyDescent="0.25">
      <c r="J426" t="s">
        <v>2522</v>
      </c>
      <c r="K426" t="str">
        <f>REPLACE(IF(A2&gt;0,REPLACE(J426,64,8,A2),""),FIND("ABC",J426,1),3,$I$2)</f>
        <v>&lt;em&gt;8.4.4.1. Rest of ME&amp;amp;A ABC Market Size and Forecast, by AA (2024-2032)&lt;/em&gt;</v>
      </c>
    </row>
    <row r="427" spans="10:11" x14ac:dyDescent="0.25">
      <c r="J427" t="s">
        <v>2523</v>
      </c>
      <c r="K427" t="str">
        <f>REPLACE(IF(B2&gt;0,REPLACE(J427,64,8,B2),""),FIND("ABC",J427,1),3,$I$2)</f>
        <v>&lt;em&gt;8.4.4.2. Rest of ME&amp;amp;A ABC Market Size and Forecast, by BB (2024-2032)&lt;/em&gt;</v>
      </c>
    </row>
    <row r="428" spans="10:11" x14ac:dyDescent="0.25">
      <c r="J428" t="s">
        <v>2524</v>
      </c>
      <c r="K428" t="str">
        <f>REPLACE(IF(C2&gt;0,REPLACE(J428,64,8,C2),""),FIND("ABC",J428,1),3,$I$2)</f>
        <v>&lt;em&gt;8.4.4.3. Rest of ME&amp;amp;A ABC Market Size and Forecast, by CC (2024-2032)&lt;/em&gt;</v>
      </c>
    </row>
    <row r="430" spans="10:11" x14ac:dyDescent="0.25">
      <c r="J430" t="s">
        <v>1038</v>
      </c>
      <c r="K430" t="str">
        <f>REPLACE(J430,FIND("ABC",J430,1),3,$I$2)</f>
        <v>&lt;strong&gt;9. South America ABC Market Size and Forecast by Segmentation (by Value in USD Million) 2024-2032&lt;/strong&gt;</v>
      </c>
    </row>
    <row r="431" spans="10:11" x14ac:dyDescent="0.25">
      <c r="J431" t="s">
        <v>1039</v>
      </c>
      <c r="K431" t="str">
        <f>REPLACE(IF(A2&gt;0,REPLACE(J431,53,8,A2),""),FIND("ABC",J431,1),3,$I$2)</f>
        <v>9.1. South America ABC Market Size and Forecast, by AA (2024-2032)</v>
      </c>
    </row>
    <row r="432" spans="10:11" x14ac:dyDescent="0.25">
      <c r="J432" t="s">
        <v>1040</v>
      </c>
      <c r="K432" t="str">
        <f>REPLACE(IF(B2&gt;0,REPLACE(J432,53,8,B2),""),FIND("ABC",J432,1),3,$I$2)</f>
        <v>9.2. South America ABC Market Size and Forecast, by BB (2024-2032)</v>
      </c>
    </row>
    <row r="433" spans="10:11" x14ac:dyDescent="0.25">
      <c r="J433" t="s">
        <v>1041</v>
      </c>
      <c r="K433" t="str">
        <f>REPLACE(IF(C2&gt;0,REPLACE(J433,53,8,C2),""),FIND("ABC",J433,1),3,$I$2)</f>
        <v>9.3. South America ABC Market Size and Forecast, by CC(2024-2032)</v>
      </c>
    </row>
    <row r="434" spans="10:11" x14ac:dyDescent="0.25">
      <c r="J434" t="s">
        <v>2525</v>
      </c>
      <c r="K434" t="str">
        <f>REPLACE(J434,FIND("ABC",J434,1),3,$I$2)</f>
        <v>9.4. South America ABC Market Size and Forecast, by Country (2024-2032)</v>
      </c>
    </row>
    <row r="435" spans="10:11" x14ac:dyDescent="0.25">
      <c r="J435" t="s">
        <v>2526</v>
      </c>
      <c r="K435" t="str">
        <f>J435</f>
        <v>&lt;strong&gt;&lt;em&gt;9.4.1. Brazil&lt;/em&gt;&lt;/strong&gt;</v>
      </c>
    </row>
    <row r="436" spans="10:11" x14ac:dyDescent="0.25">
      <c r="J436" t="s">
        <v>2527</v>
      </c>
      <c r="K436" t="str">
        <f>REPLACE(IF(A2&gt;0,REPLACE(J436,54,8,A2),""),FIND("ABC",J436,1),3,$I$2)</f>
        <v>&lt;em&gt;9.4.1.1. Brazil ABC Market Size and Forecast, by AA (2024-2032)&lt;/em&gt;</v>
      </c>
    </row>
    <row r="437" spans="10:11" x14ac:dyDescent="0.25">
      <c r="J437" t="s">
        <v>2528</v>
      </c>
      <c r="K437" t="str">
        <f>REPLACE(IF(B2&gt;0,REPLACE(J437,54,8,B2),""),FIND("ABC",J437,1),3,$I$2)</f>
        <v>&lt;em&gt;9.4.1.2. Brazil ABC Market Size and Forecast, by BB (2024-2032)&lt;/em&gt;</v>
      </c>
    </row>
    <row r="438" spans="10:11" x14ac:dyDescent="0.25">
      <c r="J438" t="s">
        <v>2529</v>
      </c>
      <c r="K438" t="str">
        <f>REPLACE(IF(C2&gt;0,REPLACE(J438,54,8,C2),""),FIND("ABC",J438,1),3,$I$2)</f>
        <v>&lt;em&gt;9.4.1.3. Brazil ABC Market Size and Forecast, by CC (2024-2032)&lt;/em&gt;</v>
      </c>
    </row>
    <row r="439" spans="10:11" x14ac:dyDescent="0.25">
      <c r="J439" t="s">
        <v>2530</v>
      </c>
      <c r="K439" t="str">
        <f>J439</f>
        <v>&lt;strong&gt;&lt;em&gt;9.4.2. Argentina&lt;/em&gt;&lt;/strong&gt;</v>
      </c>
    </row>
    <row r="440" spans="10:11" x14ac:dyDescent="0.25">
      <c r="J440" t="s">
        <v>2531</v>
      </c>
      <c r="K440" t="str">
        <f>REPLACE(IF(A2&gt;0,REPLACE(J440,57,8,A2),""),FIND("ABC",J440,1),3,$I$2)</f>
        <v>&lt;em&gt;9.4.2.1. Argentina ABC Market Size and Forecast, by AA (2024-2032)&lt;/em&gt;</v>
      </c>
    </row>
    <row r="441" spans="10:11" x14ac:dyDescent="0.25">
      <c r="J441" t="s">
        <v>2532</v>
      </c>
      <c r="K441" t="str">
        <f>REPLACE(IF(B2&gt;0,REPLACE(J441,57,8,B2),""),FIND("ABC",J441,1),3,$I$2)</f>
        <v>&lt;em&gt;9.4.2.2. Argentina ABC Market Size and Forecast, by BB (2024-2032)&lt;/em&gt;</v>
      </c>
    </row>
    <row r="442" spans="10:11" x14ac:dyDescent="0.25">
      <c r="J442" t="s">
        <v>2533</v>
      </c>
      <c r="K442" t="str">
        <f>REPLACE(IF(C2&gt;0,REPLACE(J442,57,8,C2),""),FIND("ABC",J442,1),3,$I$2)</f>
        <v>&lt;em&gt;9.4.2.3. Argentina ABC Market Size and Forecast, by CC (2024-2032)&lt;/em&gt;</v>
      </c>
    </row>
    <row r="443" spans="10:11" x14ac:dyDescent="0.25">
      <c r="J443" t="s">
        <v>2534</v>
      </c>
      <c r="K443" t="str">
        <f>J443</f>
        <v>&lt;strong&gt;&lt;em&gt;9.4.3. Rest Of South America&lt;/em&gt;&lt;/strong&gt;</v>
      </c>
    </row>
    <row r="444" spans="10:11" x14ac:dyDescent="0.25">
      <c r="J444" t="s">
        <v>2535</v>
      </c>
      <c r="K444" t="str">
        <f>REPLACE(IF(A2&gt;0,REPLACE(J444,69,8,A2),""),FIND("ABC",J444,1),3,$I$2)</f>
        <v>&lt;em&gt;9.4.3.1. Rest Of South America ABC Market Size and Forecast, by AA (2024-2032)&lt;/em&gt;</v>
      </c>
    </row>
    <row r="445" spans="10:11" x14ac:dyDescent="0.25">
      <c r="J445" t="s">
        <v>2536</v>
      </c>
      <c r="K445" t="str">
        <f>REPLACE(IF(B2&gt;0,REPLACE(J445,69,8,B2),""),FIND("ABC",J445,1),3,$I$2)</f>
        <v>&lt;em&gt;9.4.3.2. Rest Of South America ABC Market Size and Forecast, by BB (2024-2032)&lt;/em&gt;</v>
      </c>
    </row>
    <row r="446" spans="10:11" x14ac:dyDescent="0.25">
      <c r="J446" t="s">
        <v>2537</v>
      </c>
      <c r="K446" t="str">
        <f>REPLACE(IF(C2&gt;0,REPLACE(J446,69,8,C2),""),FIND("ABC",J446,1),3,$I$2)</f>
        <v>&lt;em&gt;9.4.3.3. Rest Of South America ABC Market Size and Forecast, by CC (2024-2032)&lt;/em&gt;</v>
      </c>
    </row>
    <row r="448" spans="10:11" x14ac:dyDescent="0.25">
      <c r="J448" t="s">
        <v>58</v>
      </c>
      <c r="K448" t="s">
        <v>58</v>
      </c>
    </row>
    <row r="449" spans="10:11" x14ac:dyDescent="0.25">
      <c r="J449" t="s">
        <v>87</v>
      </c>
      <c r="K449" t="str">
        <f>IF(H4&gt;0,REPLACE(J449,7,8,H4),"")</f>
        <v>10.1. Company1</v>
      </c>
    </row>
    <row r="450" spans="10:11" x14ac:dyDescent="0.25">
      <c r="J450" t="s">
        <v>59</v>
      </c>
      <c r="K450" t="s">
        <v>59</v>
      </c>
    </row>
    <row r="451" spans="10:11" x14ac:dyDescent="0.25">
      <c r="J451" t="s">
        <v>60</v>
      </c>
      <c r="K451" t="s">
        <v>60</v>
      </c>
    </row>
    <row r="452" spans="10:11" x14ac:dyDescent="0.25">
      <c r="J452" t="s">
        <v>61</v>
      </c>
      <c r="K452" t="s">
        <v>61</v>
      </c>
    </row>
    <row r="453" spans="10:11" x14ac:dyDescent="0.25">
      <c r="J453" t="s">
        <v>62</v>
      </c>
      <c r="K453" t="s">
        <v>62</v>
      </c>
    </row>
    <row r="454" spans="10:11" x14ac:dyDescent="0.25">
      <c r="J454" t="s">
        <v>63</v>
      </c>
      <c r="K454" t="s">
        <v>63</v>
      </c>
    </row>
    <row r="455" spans="10:11" x14ac:dyDescent="0.25">
      <c r="J455" t="s">
        <v>64</v>
      </c>
      <c r="K455" t="s">
        <v>64</v>
      </c>
    </row>
    <row r="456" spans="10:11" x14ac:dyDescent="0.25">
      <c r="J456" t="s">
        <v>65</v>
      </c>
      <c r="K456" t="s">
        <v>65</v>
      </c>
    </row>
    <row r="457" spans="10:11" x14ac:dyDescent="0.25">
      <c r="J457" t="s">
        <v>66</v>
      </c>
      <c r="K457" t="s">
        <v>66</v>
      </c>
    </row>
    <row r="458" spans="10:11" x14ac:dyDescent="0.25">
      <c r="J458" t="s">
        <v>67</v>
      </c>
      <c r="K458" t="s">
        <v>67</v>
      </c>
    </row>
    <row r="459" spans="10:11" x14ac:dyDescent="0.25">
      <c r="J459" t="s">
        <v>68</v>
      </c>
      <c r="K459" t="s">
        <v>68</v>
      </c>
    </row>
    <row r="460" spans="10:11" x14ac:dyDescent="0.25">
      <c r="J460" t="s">
        <v>88</v>
      </c>
      <c r="K460" t="str">
        <f>IF(H5&gt;0,REPLACE(J460,7,8,H5),"")</f>
        <v/>
      </c>
    </row>
    <row r="461" spans="10:11" x14ac:dyDescent="0.25">
      <c r="J461" t="s">
        <v>89</v>
      </c>
      <c r="K461" t="str">
        <f>IF(H6&gt;0,REPLACE(J461,7,8,H6),"")</f>
        <v/>
      </c>
    </row>
    <row r="462" spans="10:11" x14ac:dyDescent="0.25">
      <c r="J462" t="s">
        <v>90</v>
      </c>
      <c r="K462" t="str">
        <f>IF(H7&gt;0,REPLACE(J462,7,8,H7),"")</f>
        <v/>
      </c>
    </row>
    <row r="463" spans="10:11" x14ac:dyDescent="0.25">
      <c r="J463" t="s">
        <v>91</v>
      </c>
      <c r="K463" t="str">
        <f>IF(H8&gt;0,REPLACE(J463,7,8,H8),"")</f>
        <v/>
      </c>
    </row>
    <row r="464" spans="10:11" x14ac:dyDescent="0.25">
      <c r="J464" t="s">
        <v>92</v>
      </c>
      <c r="K464" t="str">
        <f>IF(H9&gt;0,REPLACE(J464,7,8,H9),"")</f>
        <v/>
      </c>
    </row>
    <row r="465" spans="10:11" x14ac:dyDescent="0.25">
      <c r="J465" t="s">
        <v>93</v>
      </c>
      <c r="K465" t="str">
        <f>IF(H10&gt;0,REPLACE(J465,7,8,H10),"")</f>
        <v/>
      </c>
    </row>
    <row r="466" spans="10:11" x14ac:dyDescent="0.25">
      <c r="J466" t="s">
        <v>94</v>
      </c>
      <c r="K466" t="str">
        <f>IF(H11&gt;0,REPLACE(J466,7,8,H11),"")</f>
        <v/>
      </c>
    </row>
    <row r="467" spans="10:11" x14ac:dyDescent="0.25">
      <c r="J467" t="s">
        <v>95</v>
      </c>
      <c r="K467" t="str">
        <f>IF(H12&gt;0,REPLACE(J467,7,8,H12),"")</f>
        <v/>
      </c>
    </row>
    <row r="468" spans="10:11" x14ac:dyDescent="0.25">
      <c r="J468" t="s">
        <v>96</v>
      </c>
      <c r="K468" t="str">
        <f>IF(H13&gt;0,REPLACE(J468,8,9,H13),"")</f>
        <v/>
      </c>
    </row>
    <row r="469" spans="10:11" x14ac:dyDescent="0.25">
      <c r="J469" t="s">
        <v>97</v>
      </c>
      <c r="K469" t="str">
        <f>IF(H14&gt;0,REPLACE(J469,8,9,H14),"")</f>
        <v/>
      </c>
    </row>
    <row r="470" spans="10:11" x14ac:dyDescent="0.25">
      <c r="J470" t="s">
        <v>98</v>
      </c>
      <c r="K470" t="str">
        <f>IF(H15&gt;0,REPLACE(J470,8,9,H15),"")</f>
        <v/>
      </c>
    </row>
    <row r="471" spans="10:11" x14ac:dyDescent="0.25">
      <c r="J471" t="s">
        <v>99</v>
      </c>
      <c r="K471" t="str">
        <f>IF(H16&gt;0,REPLACE(J471,8,9,H16),"")</f>
        <v/>
      </c>
    </row>
    <row r="472" spans="10:11" x14ac:dyDescent="0.25">
      <c r="J472" t="s">
        <v>100</v>
      </c>
      <c r="K472" t="str">
        <f>IF(H17&gt;0,REPLACE(J472,8,9,H17),"")</f>
        <v/>
      </c>
    </row>
    <row r="473" spans="10:11" x14ac:dyDescent="0.25">
      <c r="J473" t="s">
        <v>101</v>
      </c>
      <c r="K473" t="str">
        <f>IF(H18&gt;0,REPLACE(J473,8,9,H18),"")</f>
        <v/>
      </c>
    </row>
    <row r="474" spans="10:11" x14ac:dyDescent="0.25">
      <c r="J474" t="s">
        <v>102</v>
      </c>
      <c r="K474" t="str">
        <f>IF(H19&gt;0,REPLACE(J474,8,9,H19),"")</f>
        <v/>
      </c>
    </row>
    <row r="475" spans="10:11" x14ac:dyDescent="0.25">
      <c r="J475" t="s">
        <v>103</v>
      </c>
      <c r="K475" t="str">
        <f>IF(H20&gt;0,REPLACE(J475,8,9,H20),"")</f>
        <v/>
      </c>
    </row>
    <row r="476" spans="10:11" x14ac:dyDescent="0.25">
      <c r="J476" t="s">
        <v>104</v>
      </c>
      <c r="K476" t="str">
        <f>IF(H21&gt;0,REPLACE(J476,8,9,H21),"")</f>
        <v/>
      </c>
    </row>
    <row r="477" spans="10:11" x14ac:dyDescent="0.25">
      <c r="J477" t="s">
        <v>105</v>
      </c>
      <c r="K477" t="str">
        <f>IF(H22&gt;0,REPLACE(J477,8,9,H22),"")</f>
        <v/>
      </c>
    </row>
    <row r="478" spans="10:11" x14ac:dyDescent="0.25">
      <c r="J478" t="s">
        <v>106</v>
      </c>
      <c r="K478" t="str">
        <f>IF(H23&gt;0,REPLACE(J478,8,9,H23),"")</f>
        <v/>
      </c>
    </row>
    <row r="479" spans="10:11" x14ac:dyDescent="0.25">
      <c r="J479" t="s">
        <v>107</v>
      </c>
      <c r="K479" t="str">
        <f>IF(H24&gt;0,REPLACE(J479,8,9,H24),"")</f>
        <v/>
      </c>
    </row>
    <row r="480" spans="10:11" x14ac:dyDescent="0.25">
      <c r="J480" t="s">
        <v>108</v>
      </c>
      <c r="K480" t="str">
        <f>IF(H25&gt;0,REPLACE(J480,8,9,H25),"")</f>
        <v/>
      </c>
    </row>
    <row r="481" spans="10:11" x14ac:dyDescent="0.25">
      <c r="J481" t="s">
        <v>109</v>
      </c>
      <c r="K481" t="str">
        <f>IF(H26&gt;0,REPLACE(J481,8,9,H26),"")</f>
        <v/>
      </c>
    </row>
    <row r="482" spans="10:11" x14ac:dyDescent="0.25">
      <c r="J482" t="s">
        <v>110</v>
      </c>
      <c r="K482" t="str">
        <f>IF(H27&gt;0,REPLACE(J482,8,9,H27),"")</f>
        <v/>
      </c>
    </row>
    <row r="483" spans="10:11" x14ac:dyDescent="0.25">
      <c r="J483" t="s">
        <v>111</v>
      </c>
      <c r="K483" t="str">
        <f>IF(H28&gt;0,REPLACE(J483,8,9,H28),"")</f>
        <v/>
      </c>
    </row>
    <row r="484" spans="10:11" x14ac:dyDescent="0.25">
      <c r="J484" t="s">
        <v>112</v>
      </c>
      <c r="K484" t="str">
        <f>IF(H29&gt;0,REPLACE(J484,8,9,H29),"")</f>
        <v/>
      </c>
    </row>
    <row r="485" spans="10:11" x14ac:dyDescent="0.25">
      <c r="J485" t="s">
        <v>113</v>
      </c>
      <c r="K485" t="str">
        <f>IF(H30&gt;0,REPLACE(J485,8,9,H30),"")</f>
        <v/>
      </c>
    </row>
    <row r="486" spans="10:11" x14ac:dyDescent="0.25">
      <c r="J486" t="s">
        <v>114</v>
      </c>
      <c r="K486" t="str">
        <f>IF(H31&gt;0,REPLACE(J486,8,9,H31),"")</f>
        <v/>
      </c>
    </row>
    <row r="487" spans="10:11" x14ac:dyDescent="0.25">
      <c r="J487" t="s">
        <v>115</v>
      </c>
      <c r="K487" t="str">
        <f>IF(H32&gt;0,REPLACE(J487,8,9,H32),"")</f>
        <v/>
      </c>
    </row>
    <row r="488" spans="10:11" x14ac:dyDescent="0.25">
      <c r="J488" t="s">
        <v>116</v>
      </c>
      <c r="K488" t="str">
        <f>IF(H33&gt;0,REPLACE(J488,8,9,H33),"")</f>
        <v/>
      </c>
    </row>
    <row r="489" spans="10:11" x14ac:dyDescent="0.25">
      <c r="J489" t="s">
        <v>160</v>
      </c>
      <c r="K489" t="str">
        <f>IF(H34&gt;0,REPLACE(J489,8,9,H34),"")</f>
        <v/>
      </c>
    </row>
    <row r="490" spans="10:11" x14ac:dyDescent="0.25">
      <c r="J490" t="s">
        <v>161</v>
      </c>
      <c r="K490" t="str">
        <f>IF(H35&gt;0,REPLACE(J490,8,9,H35),"")</f>
        <v/>
      </c>
    </row>
    <row r="491" spans="10:11" x14ac:dyDescent="0.25">
      <c r="J491" t="s">
        <v>162</v>
      </c>
      <c r="K491" t="str">
        <f>IF(H36&gt;0,REPLACE(J491,8,9,H36),"")</f>
        <v/>
      </c>
    </row>
    <row r="492" spans="10:11" x14ac:dyDescent="0.25">
      <c r="J492" t="s">
        <v>163</v>
      </c>
      <c r="K492" t="str">
        <f>IF(H37&gt;0,REPLACE(J492,8,9,H37),"")</f>
        <v/>
      </c>
    </row>
    <row r="493" spans="10:11" x14ac:dyDescent="0.25">
      <c r="J493" t="s">
        <v>164</v>
      </c>
      <c r="K493" t="str">
        <f>IF(H38&gt;0,REPLACE(J493,8,9,H38),"")</f>
        <v/>
      </c>
    </row>
    <row r="494" spans="10:11" x14ac:dyDescent="0.25">
      <c r="J494" t="s">
        <v>165</v>
      </c>
      <c r="K494" t="str">
        <f>IF(H39&gt;0,REPLACE(J494,8,9,H39),"")</f>
        <v/>
      </c>
    </row>
    <row r="495" spans="10:11" x14ac:dyDescent="0.25">
      <c r="J495" t="s">
        <v>166</v>
      </c>
      <c r="K495" t="str">
        <f>IF(H40&gt;0,REPLACE(J495,8,9,H40),"")</f>
        <v/>
      </c>
    </row>
    <row r="496" spans="10:11" x14ac:dyDescent="0.25">
      <c r="J496" t="s">
        <v>167</v>
      </c>
      <c r="K496" t="str">
        <f>IF(H41&gt;0,REPLACE(J496,8,9,H41),"")</f>
        <v/>
      </c>
    </row>
    <row r="497" spans="10:11" x14ac:dyDescent="0.25">
      <c r="J497" t="s">
        <v>168</v>
      </c>
      <c r="K497" t="str">
        <f>IF(H42&gt;0,REPLACE(J497,8,9,H42),"")</f>
        <v/>
      </c>
    </row>
    <row r="498" spans="10:11" x14ac:dyDescent="0.25">
      <c r="J498" t="s">
        <v>169</v>
      </c>
      <c r="K498" t="str">
        <f>IF(H43&gt;0,REPLACE(J498,8,9,H43),"")</f>
        <v/>
      </c>
    </row>
    <row r="500" spans="10:11" x14ac:dyDescent="0.25">
      <c r="J500" t="s">
        <v>69</v>
      </c>
      <c r="K500" t="s">
        <v>69</v>
      </c>
    </row>
    <row r="502" spans="10:11" x14ac:dyDescent="0.25">
      <c r="J502" t="s">
        <v>70</v>
      </c>
      <c r="K502" t="s">
        <v>70</v>
      </c>
    </row>
    <row r="504" spans="10:11" x14ac:dyDescent="0.25">
      <c r="J504" t="s">
        <v>71</v>
      </c>
      <c r="K504" t="str">
        <f>REPLACE(J504,FIND("ABC",J504,1),3,I2)</f>
        <v>&lt;strong&gt;13. ABC Market: Research Methodology&lt;/strong&gt;</v>
      </c>
    </row>
    <row r="506" spans="10:11" x14ac:dyDescent="0.25">
      <c r="J506" t="s">
        <v>72</v>
      </c>
      <c r="K506" t="s">
        <v>72</v>
      </c>
    </row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7" customFormat="1" x14ac:dyDescent="0.25"/>
    <row r="829" customFormat="1" x14ac:dyDescent="0.25"/>
    <row r="831" customFormat="1" x14ac:dyDescent="0.25"/>
    <row r="833" customFormat="1" x14ac:dyDescent="0.25"/>
  </sheetData>
  <conditionalFormatting sqref="J113:J118">
    <cfRule type="uniqu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42"/>
  <sheetViews>
    <sheetView workbookViewId="0">
      <selection activeCell="I4" sqref="I4"/>
    </sheetView>
  </sheetViews>
  <sheetFormatPr defaultRowHeight="15" x14ac:dyDescent="0.25"/>
  <cols>
    <col min="1" max="1" width="11.140625" customWidth="1"/>
    <col min="2" max="2" width="17.7109375" customWidth="1"/>
    <col min="3" max="3" width="15.140625" customWidth="1"/>
    <col min="4" max="4" width="16.7109375" customWidth="1"/>
    <col min="5" max="5" width="12.85546875" customWidth="1"/>
    <col min="6" max="7" width="17.28515625" customWidth="1"/>
    <col min="8" max="8" width="14.140625" customWidth="1"/>
    <col min="9" max="9" width="15.5703125" customWidth="1"/>
  </cols>
  <sheetData>
    <row r="1" spans="1:11" x14ac:dyDescent="0.25">
      <c r="A1" s="1" t="s">
        <v>73</v>
      </c>
      <c r="B1" s="1" t="s">
        <v>74</v>
      </c>
      <c r="C1" s="1" t="s">
        <v>75</v>
      </c>
      <c r="D1" s="1" t="s">
        <v>76</v>
      </c>
      <c r="E1" s="1"/>
      <c r="F1" s="1"/>
      <c r="G1" s="1"/>
      <c r="H1" s="1" t="s">
        <v>79</v>
      </c>
      <c r="I1" s="1" t="s">
        <v>122</v>
      </c>
    </row>
    <row r="2" spans="1:11" x14ac:dyDescent="0.25">
      <c r="A2" s="2" t="s">
        <v>80</v>
      </c>
      <c r="B2" s="2" t="s">
        <v>81</v>
      </c>
      <c r="C2" s="2" t="s">
        <v>82</v>
      </c>
      <c r="D2" s="2" t="s">
        <v>83</v>
      </c>
      <c r="I2" s="2" t="s">
        <v>159</v>
      </c>
      <c r="J2" t="s">
        <v>0</v>
      </c>
      <c r="K2" t="str">
        <f>REPLACE(J2,FIND("ABC",J2,1),3,I2)</f>
        <v>&lt;strong&gt;1. ABC Market Introduction&lt;/strong&gt;</v>
      </c>
    </row>
    <row r="3" spans="1:11" x14ac:dyDescent="0.25">
      <c r="A3" s="3"/>
      <c r="B3" s="3"/>
      <c r="C3" s="3"/>
      <c r="D3" s="3"/>
      <c r="J3" t="s">
        <v>1</v>
      </c>
      <c r="K3" t="s">
        <v>1</v>
      </c>
    </row>
    <row r="4" spans="1:11" x14ac:dyDescent="0.25">
      <c r="A4" s="2"/>
      <c r="B4" s="2"/>
      <c r="C4" s="2"/>
      <c r="D4" s="2"/>
      <c r="H4" s="2" t="s">
        <v>86</v>
      </c>
      <c r="J4" t="s">
        <v>2</v>
      </c>
      <c r="K4" t="s">
        <v>2</v>
      </c>
    </row>
    <row r="5" spans="1:11" x14ac:dyDescent="0.25">
      <c r="A5" s="2"/>
      <c r="B5" s="2"/>
      <c r="C5" s="2"/>
      <c r="D5" s="2"/>
      <c r="H5" s="2"/>
      <c r="J5" t="s">
        <v>3</v>
      </c>
      <c r="K5" t="s">
        <v>3</v>
      </c>
    </row>
    <row r="6" spans="1:11" x14ac:dyDescent="0.25">
      <c r="A6" s="2"/>
      <c r="B6" s="2"/>
      <c r="C6" s="2"/>
      <c r="D6" s="2"/>
      <c r="H6" s="2"/>
    </row>
    <row r="7" spans="1:11" x14ac:dyDescent="0.25">
      <c r="A7" s="2"/>
      <c r="B7" s="2"/>
      <c r="C7" s="2"/>
      <c r="D7" s="2"/>
      <c r="H7" s="2"/>
      <c r="J7" t="s">
        <v>189</v>
      </c>
      <c r="K7" t="str">
        <f>REPLACE(J7,FIND("ABC",J7,1),3,$I$2)</f>
        <v>&lt;strong&gt;2. Global ABC Market: Competitive Landscape&lt;/strong&gt;</v>
      </c>
    </row>
    <row r="8" spans="1:11" x14ac:dyDescent="0.25">
      <c r="A8" s="2"/>
      <c r="B8" s="2"/>
      <c r="C8" s="2"/>
      <c r="D8" s="2"/>
      <c r="H8" s="2"/>
      <c r="J8" t="s">
        <v>187</v>
      </c>
      <c r="K8" t="str">
        <f t="shared" ref="K8:K15" si="0">J8</f>
        <v>2.1. MMR Competition Matrix</v>
      </c>
    </row>
    <row r="9" spans="1:11" x14ac:dyDescent="0.25">
      <c r="A9" s="2"/>
      <c r="B9" s="2"/>
      <c r="C9" s="2"/>
      <c r="D9" s="2"/>
      <c r="H9" s="2"/>
      <c r="J9" t="s">
        <v>188</v>
      </c>
      <c r="K9" t="str">
        <f t="shared" si="0"/>
        <v>2.2. Competitive Landscape</v>
      </c>
    </row>
    <row r="10" spans="1:11" x14ac:dyDescent="0.25">
      <c r="A10" s="2"/>
      <c r="B10" s="2"/>
      <c r="C10" s="2"/>
      <c r="D10" s="2"/>
      <c r="H10" s="2"/>
      <c r="J10" t="s">
        <v>383</v>
      </c>
      <c r="K10" t="str">
        <f t="shared" si="0"/>
        <v>2.3. Key Players Benchmarking</v>
      </c>
    </row>
    <row r="11" spans="1:11" x14ac:dyDescent="0.25">
      <c r="A11" s="2"/>
      <c r="B11" s="2"/>
      <c r="C11" s="2"/>
      <c r="D11" s="2"/>
      <c r="H11" s="2"/>
      <c r="J11" t="s">
        <v>384</v>
      </c>
      <c r="K11" t="str">
        <f t="shared" si="0"/>
        <v>&lt;em&gt;2.3.1. Company Name&lt;/em&gt;</v>
      </c>
    </row>
    <row r="12" spans="1:11" x14ac:dyDescent="0.25">
      <c r="A12" s="2"/>
      <c r="B12" s="2"/>
      <c r="C12" s="2"/>
      <c r="D12" s="2"/>
      <c r="H12" s="2"/>
      <c r="J12" t="s">
        <v>385</v>
      </c>
      <c r="K12" t="str">
        <f t="shared" si="0"/>
        <v>&lt;em&gt;2.3.2. Business Segment&lt;/em&gt;</v>
      </c>
    </row>
    <row r="13" spans="1:11" x14ac:dyDescent="0.25">
      <c r="A13" s="2"/>
      <c r="B13" s="2"/>
      <c r="C13" s="2"/>
      <c r="D13" s="2"/>
      <c r="H13" s="2"/>
      <c r="J13" t="s">
        <v>386</v>
      </c>
      <c r="K13" t="str">
        <f t="shared" si="0"/>
        <v>&lt;em&gt;2.3.3. End-user Segment&lt;/em&gt;</v>
      </c>
    </row>
    <row r="14" spans="1:11" x14ac:dyDescent="0.25">
      <c r="A14" s="2"/>
      <c r="B14" s="2"/>
      <c r="C14" s="2"/>
      <c r="D14" s="2"/>
      <c r="H14" s="2"/>
      <c r="J14" t="s">
        <v>817</v>
      </c>
      <c r="K14" t="str">
        <f t="shared" si="0"/>
        <v>&lt;em&gt;2.3.4. Revenue (2024)&lt;/em&gt;</v>
      </c>
    </row>
    <row r="15" spans="1:11" x14ac:dyDescent="0.25">
      <c r="A15" s="2"/>
      <c r="B15" s="2"/>
      <c r="C15" s="2"/>
      <c r="D15" s="2"/>
      <c r="H15" s="2"/>
      <c r="J15" t="s">
        <v>387</v>
      </c>
      <c r="K15" t="str">
        <f t="shared" si="0"/>
        <v>&lt;em&gt;2.3.5. Company Locations&lt;/em&gt;</v>
      </c>
    </row>
    <row r="16" spans="1:11" x14ac:dyDescent="0.25">
      <c r="A16" s="2"/>
      <c r="B16" s="2"/>
      <c r="C16" s="2"/>
      <c r="D16" s="2"/>
      <c r="H16" s="2"/>
      <c r="J16" t="s">
        <v>388</v>
      </c>
      <c r="K16" t="str">
        <f>REPLACE(J16,FIND("ABC",J16,1),3,$I$2)</f>
        <v>2.4. Leading ABC Market Companies, by market capitalization</v>
      </c>
    </row>
    <row r="17" spans="1:11" x14ac:dyDescent="0.25">
      <c r="A17" s="2"/>
      <c r="B17" s="2"/>
      <c r="C17" s="2"/>
      <c r="D17" s="2"/>
      <c r="H17" s="2"/>
      <c r="J17" t="s">
        <v>389</v>
      </c>
      <c r="K17" t="str">
        <f>J17</f>
        <v>2.5. Market Structure</v>
      </c>
    </row>
    <row r="18" spans="1:11" x14ac:dyDescent="0.25">
      <c r="A18" s="2"/>
      <c r="B18" s="2"/>
      <c r="C18" s="2"/>
      <c r="D18" s="2"/>
      <c r="H18" s="2"/>
      <c r="J18" t="s">
        <v>390</v>
      </c>
      <c r="K18" t="str">
        <f>J18</f>
        <v>&lt;em&gt;2.5.1. Market Leaders&lt;/em&gt;</v>
      </c>
    </row>
    <row r="19" spans="1:11" x14ac:dyDescent="0.25">
      <c r="H19" s="2"/>
      <c r="J19" t="s">
        <v>391</v>
      </c>
      <c r="K19" t="str">
        <f>J19</f>
        <v>&lt;em&gt;2.5.2. Market Followers&lt;/em&gt;</v>
      </c>
    </row>
    <row r="20" spans="1:11" x14ac:dyDescent="0.25">
      <c r="H20" s="2"/>
      <c r="J20" t="s">
        <v>392</v>
      </c>
      <c r="K20" t="str">
        <f>J20</f>
        <v>&lt;em&gt;2.5.3. Emerging Players&lt;/em&gt;</v>
      </c>
    </row>
    <row r="21" spans="1:11" x14ac:dyDescent="0.25">
      <c r="H21" s="2"/>
      <c r="J21" t="s">
        <v>393</v>
      </c>
      <c r="K21" t="str">
        <f>J21</f>
        <v>2.6. Mergers and Acquisitions Details</v>
      </c>
    </row>
    <row r="22" spans="1:11" x14ac:dyDescent="0.25">
      <c r="H22" s="2"/>
    </row>
    <row r="23" spans="1:11" x14ac:dyDescent="0.25">
      <c r="H23" s="2"/>
      <c r="J23" t="s">
        <v>190</v>
      </c>
      <c r="K23" t="str">
        <f>REPLACE(J23,FIND("ABC",J23,1),3,$I$2)</f>
        <v>&lt;strong&gt;3. ABC Market: Dynamics&lt;/strong&gt;</v>
      </c>
    </row>
    <row r="24" spans="1:11" x14ac:dyDescent="0.25">
      <c r="H24" s="2"/>
      <c r="J24" t="s">
        <v>191</v>
      </c>
      <c r="K24" t="str">
        <f>REPLACE(J24,FIND("ABC",J24,1),3,$I$2)</f>
        <v>3.1. ABC Market Trends by Region</v>
      </c>
    </row>
    <row r="25" spans="1:11" x14ac:dyDescent="0.25">
      <c r="H25" s="2"/>
      <c r="J25" t="s">
        <v>192</v>
      </c>
      <c r="K25" t="str">
        <f>REPLACE(J25,FIND("ABC",J25,1),3,$I$2)</f>
        <v>&lt;em&gt;3.1.1. North America ABC Market Trends&lt;/em&gt;</v>
      </c>
    </row>
    <row r="26" spans="1:11" x14ac:dyDescent="0.25">
      <c r="H26" s="2"/>
      <c r="J26" t="s">
        <v>193</v>
      </c>
      <c r="K26" t="str">
        <f t="shared" ref="K26:K30" si="1">REPLACE(J26,FIND("ABC",J26,1),3,$I$2)</f>
        <v>&lt;em&gt;3.1.2. Europe ABC Market Trends&lt;/em&gt;</v>
      </c>
    </row>
    <row r="27" spans="1:11" x14ac:dyDescent="0.25">
      <c r="H27" s="2"/>
      <c r="J27" t="s">
        <v>194</v>
      </c>
      <c r="K27" t="str">
        <f t="shared" si="1"/>
        <v>&lt;em&gt;3.1.3. Asia Pacific ABC Market Trends&lt;/em&gt;</v>
      </c>
    </row>
    <row r="28" spans="1:11" x14ac:dyDescent="0.25">
      <c r="H28" s="2"/>
      <c r="J28" t="s">
        <v>195</v>
      </c>
      <c r="K28" t="str">
        <f t="shared" si="1"/>
        <v>&lt;em&gt;3.1.4. Middle East and Africa ABC Market Trends&lt;/em&gt;</v>
      </c>
    </row>
    <row r="29" spans="1:11" x14ac:dyDescent="0.25">
      <c r="H29" s="2"/>
      <c r="J29" t="s">
        <v>196</v>
      </c>
      <c r="K29" t="str">
        <f t="shared" si="1"/>
        <v>&lt;em&gt;3.1.5. South America ABC Market Trends&lt;/em&gt;</v>
      </c>
    </row>
    <row r="30" spans="1:11" x14ac:dyDescent="0.25">
      <c r="H30" s="2"/>
      <c r="J30" t="s">
        <v>197</v>
      </c>
      <c r="K30" t="str">
        <f t="shared" si="1"/>
        <v>3.2. ABC Market Dynamics by Region</v>
      </c>
    </row>
    <row r="31" spans="1:11" x14ac:dyDescent="0.25">
      <c r="H31" s="2"/>
      <c r="J31" t="s">
        <v>198</v>
      </c>
      <c r="K31" t="str">
        <f>J31</f>
        <v>&lt;em&gt;3.2.1. North America&lt;/em&gt;</v>
      </c>
    </row>
    <row r="32" spans="1:11" x14ac:dyDescent="0.25">
      <c r="H32" s="2"/>
      <c r="J32" t="s">
        <v>199</v>
      </c>
      <c r="K32" t="str">
        <f>REPLACE(J32,FIND("ABC",J32,1),3,$I$2)</f>
        <v>&lt;em&gt;3.2.1.1. North America ABC Market Drivers&lt;/em&gt;</v>
      </c>
    </row>
    <row r="33" spans="8:11" x14ac:dyDescent="0.25">
      <c r="H33" s="2"/>
      <c r="J33" t="s">
        <v>200</v>
      </c>
      <c r="K33" t="str">
        <f t="shared" ref="K33:K35" si="2">REPLACE(J33,FIND("ABC",J33,1),3,$I$2)</f>
        <v>&lt;em&gt;3.2.1.2. North America ABC Market Restraints&lt;/em&gt;</v>
      </c>
    </row>
    <row r="34" spans="8:11" x14ac:dyDescent="0.25">
      <c r="H34" s="2"/>
      <c r="J34" t="s">
        <v>201</v>
      </c>
      <c r="K34" t="str">
        <f t="shared" si="2"/>
        <v>&lt;em&gt;3.2.1.3. North America ABC Market Opportunities&lt;/em&gt;</v>
      </c>
    </row>
    <row r="35" spans="8:11" x14ac:dyDescent="0.25">
      <c r="H35" s="2"/>
      <c r="J35" t="s">
        <v>202</v>
      </c>
      <c r="K35" t="str">
        <f t="shared" si="2"/>
        <v>&lt;em&gt;3.2.1.4. North America ABC Market Challenges&lt;/em&gt;</v>
      </c>
    </row>
    <row r="36" spans="8:11" x14ac:dyDescent="0.25">
      <c r="H36" s="2"/>
      <c r="J36" t="s">
        <v>203</v>
      </c>
      <c r="K36" t="str">
        <f>J36</f>
        <v>&lt;em&gt;3.2.2. Europe&lt;/em&gt;</v>
      </c>
    </row>
    <row r="37" spans="8:11" x14ac:dyDescent="0.25">
      <c r="H37" s="2"/>
      <c r="J37" t="s">
        <v>204</v>
      </c>
      <c r="K37" t="str">
        <f>REPLACE(J37,FIND("ABC",J37,1),3,$I$2)</f>
        <v>&lt;em&gt;3.2.2.1. Europe ABC Market Drivers&lt;/em&gt;</v>
      </c>
    </row>
    <row r="38" spans="8:11" x14ac:dyDescent="0.25">
      <c r="H38" s="2"/>
      <c r="J38" t="s">
        <v>205</v>
      </c>
      <c r="K38" t="str">
        <f t="shared" ref="K38:K55" si="3">REPLACE(J38,FIND("ABC",J38,1),3,$I$2)</f>
        <v>&lt;em&gt;3.2.2.2. Europe ABC Market Restraints&lt;/em&gt;</v>
      </c>
    </row>
    <row r="39" spans="8:11" x14ac:dyDescent="0.25">
      <c r="H39" s="2"/>
      <c r="J39" t="s">
        <v>206</v>
      </c>
      <c r="K39" t="str">
        <f t="shared" si="3"/>
        <v>&lt;em&gt;3.2.2.3. Europe ABC Market Opportunities&lt;/em&gt;</v>
      </c>
    </row>
    <row r="40" spans="8:11" x14ac:dyDescent="0.25">
      <c r="H40" s="2"/>
      <c r="J40" t="s">
        <v>207</v>
      </c>
      <c r="K40" t="str">
        <f t="shared" si="3"/>
        <v>&lt;em&gt;3.2.2.4. Europe ABC Market Challenges&lt;/em&gt;</v>
      </c>
    </row>
    <row r="41" spans="8:11" x14ac:dyDescent="0.25">
      <c r="H41" s="2"/>
      <c r="J41" t="s">
        <v>208</v>
      </c>
      <c r="K41" t="str">
        <f>J41</f>
        <v>&lt;em&gt;3.2.3. Asia Pacific&lt;/em&gt;</v>
      </c>
    </row>
    <row r="42" spans="8:11" x14ac:dyDescent="0.25">
      <c r="H42" s="2"/>
      <c r="J42" t="s">
        <v>209</v>
      </c>
      <c r="K42" t="str">
        <f t="shared" si="3"/>
        <v>&lt;em&gt;3.2.3.1. Asia Pacific ABC Market Drivers&lt;/em&gt;</v>
      </c>
    </row>
    <row r="43" spans="8:11" x14ac:dyDescent="0.25">
      <c r="H43" s="2"/>
      <c r="J43" t="s">
        <v>210</v>
      </c>
      <c r="K43" t="str">
        <f t="shared" si="3"/>
        <v>&lt;em&gt;3.2.3.2. Asia Pacific ABC Market Restraints&lt;/em&gt;</v>
      </c>
    </row>
    <row r="44" spans="8:11" x14ac:dyDescent="0.25">
      <c r="J44" t="s">
        <v>211</v>
      </c>
      <c r="K44" t="str">
        <f t="shared" si="3"/>
        <v>&lt;em&gt;3.2.3.3. Asia Pacific ABC Market Opportunities&lt;/em&gt;</v>
      </c>
    </row>
    <row r="45" spans="8:11" x14ac:dyDescent="0.25">
      <c r="J45" t="s">
        <v>212</v>
      </c>
      <c r="K45" t="str">
        <f t="shared" si="3"/>
        <v>&lt;em&gt;3.2.3.4. Asia Pacific ABC Market Challenges&lt;/em&gt;</v>
      </c>
    </row>
    <row r="46" spans="8:11" x14ac:dyDescent="0.25">
      <c r="J46" t="s">
        <v>213</v>
      </c>
      <c r="K46" t="str">
        <f>J46</f>
        <v>&lt;em&gt;3.2.4. Middle East and Africa&lt;/em&gt;</v>
      </c>
    </row>
    <row r="47" spans="8:11" x14ac:dyDescent="0.25">
      <c r="J47" t="s">
        <v>214</v>
      </c>
      <c r="K47" t="str">
        <f t="shared" si="3"/>
        <v>&lt;em&gt;3.2.4.1. Middle East and Africa ABC Market Drivers&lt;/em&gt;</v>
      </c>
    </row>
    <row r="48" spans="8:11" x14ac:dyDescent="0.25">
      <c r="J48" t="s">
        <v>215</v>
      </c>
      <c r="K48" t="str">
        <f t="shared" si="3"/>
        <v>&lt;em&gt;3.2.4.2. Middle East and Africa ABC Market Restraints&lt;/em&gt;</v>
      </c>
    </row>
    <row r="49" spans="10:11" x14ac:dyDescent="0.25">
      <c r="J49" t="s">
        <v>216</v>
      </c>
      <c r="K49" t="str">
        <f t="shared" si="3"/>
        <v>&lt;em&gt;3.2.4.3. Middle East and Africa ABC Market Opportunities&lt;/em&gt;</v>
      </c>
    </row>
    <row r="50" spans="10:11" x14ac:dyDescent="0.25">
      <c r="J50" t="s">
        <v>217</v>
      </c>
      <c r="K50" t="str">
        <f t="shared" si="3"/>
        <v>&lt;em&gt;3.2.4.4. Middle East and Africa ABC Market Challenges&lt;/em&gt;</v>
      </c>
    </row>
    <row r="51" spans="10:11" x14ac:dyDescent="0.25">
      <c r="J51" t="s">
        <v>218</v>
      </c>
      <c r="K51" t="str">
        <f>J51</f>
        <v>&lt;em&gt;3.2.5. South America&lt;/em&gt;</v>
      </c>
    </row>
    <row r="52" spans="10:11" x14ac:dyDescent="0.25">
      <c r="J52" t="s">
        <v>219</v>
      </c>
      <c r="K52" t="str">
        <f t="shared" si="3"/>
        <v>&lt;em&gt;3.2.5.1. South America ABC Market Drivers&lt;/em&gt;</v>
      </c>
    </row>
    <row r="53" spans="10:11" x14ac:dyDescent="0.25">
      <c r="J53" t="s">
        <v>220</v>
      </c>
      <c r="K53" t="str">
        <f t="shared" si="3"/>
        <v>&lt;em&gt;3.2.5.2. South America ABC Market Restraints&lt;/em&gt;</v>
      </c>
    </row>
    <row r="54" spans="10:11" x14ac:dyDescent="0.25">
      <c r="J54" t="s">
        <v>221</v>
      </c>
      <c r="K54" t="str">
        <f t="shared" si="3"/>
        <v>&lt;em&gt;3.2.5.3. South America ABC Market Opportunities&lt;/em&gt;</v>
      </c>
    </row>
    <row r="55" spans="10:11" x14ac:dyDescent="0.25">
      <c r="J55" t="s">
        <v>222</v>
      </c>
      <c r="K55" t="str">
        <f t="shared" si="3"/>
        <v>&lt;em&gt;3.2.5.4. South America ABC Market Challenges&lt;/em&gt;</v>
      </c>
    </row>
    <row r="56" spans="10:11" x14ac:dyDescent="0.25">
      <c r="J56" t="s">
        <v>223</v>
      </c>
      <c r="K56" t="str">
        <f t="shared" ref="K56:K64" si="4">J56</f>
        <v>3.3. PORTER’s Five Forces Analysis</v>
      </c>
    </row>
    <row r="57" spans="10:11" x14ac:dyDescent="0.25">
      <c r="J57" t="s">
        <v>224</v>
      </c>
      <c r="K57" t="str">
        <f t="shared" si="4"/>
        <v>3.4. PESTLE Analysis</v>
      </c>
    </row>
    <row r="58" spans="10:11" x14ac:dyDescent="0.25">
      <c r="J58" t="s">
        <v>225</v>
      </c>
      <c r="K58" t="str">
        <f t="shared" si="4"/>
        <v>3.5. Technology Roadmap</v>
      </c>
    </row>
    <row r="59" spans="10:11" x14ac:dyDescent="0.25">
      <c r="J59" t="s">
        <v>226</v>
      </c>
      <c r="K59" t="str">
        <f t="shared" si="4"/>
        <v>3.6. Regulatory Landscape by Region</v>
      </c>
    </row>
    <row r="60" spans="10:11" x14ac:dyDescent="0.25">
      <c r="J60" t="s">
        <v>117</v>
      </c>
      <c r="K60" t="str">
        <f t="shared" si="4"/>
        <v>&lt;em&gt;3.6.1. North America&lt;/em&gt;</v>
      </c>
    </row>
    <row r="61" spans="10:11" x14ac:dyDescent="0.25">
      <c r="J61" t="s">
        <v>118</v>
      </c>
      <c r="K61" t="str">
        <f t="shared" si="4"/>
        <v>&lt;em&gt;3.6.2. Europe&lt;/em&gt;</v>
      </c>
    </row>
    <row r="62" spans="10:11" x14ac:dyDescent="0.25">
      <c r="J62" t="s">
        <v>119</v>
      </c>
      <c r="K62" t="str">
        <f t="shared" si="4"/>
        <v>&lt;em&gt;3.6.3. Asia Pacific&lt;/em&gt;</v>
      </c>
    </row>
    <row r="63" spans="10:11" x14ac:dyDescent="0.25">
      <c r="J63" t="s">
        <v>120</v>
      </c>
      <c r="K63" t="str">
        <f t="shared" si="4"/>
        <v>&lt;em&gt;3.6.4. Middle East and Africa&lt;/em&gt;</v>
      </c>
    </row>
    <row r="64" spans="10:11" x14ac:dyDescent="0.25">
      <c r="J64" t="s">
        <v>121</v>
      </c>
      <c r="K64" t="str">
        <f t="shared" si="4"/>
        <v>&lt;em&gt;3.6.5. South America&lt;/em&gt;</v>
      </c>
    </row>
    <row r="65" spans="10:11" x14ac:dyDescent="0.25">
      <c r="J65" t="s">
        <v>227</v>
      </c>
      <c r="K65" t="str">
        <f>REPLACE(J65,FIND("ABC",J65,1),3,$I$2)</f>
        <v>3.7. Key Opinion Leader Analysis For ABC Industry</v>
      </c>
    </row>
    <row r="66" spans="10:11" x14ac:dyDescent="0.25">
      <c r="J66" t="s">
        <v>228</v>
      </c>
      <c r="K66" t="str">
        <f>REPLACE(J66,FIND("ABC",J66,1),3,$I$2)</f>
        <v>3.8. Analysis of Government Schemes and Initiatives For ABC Industry</v>
      </c>
    </row>
    <row r="67" spans="10:11" x14ac:dyDescent="0.25">
      <c r="J67" t="s">
        <v>229</v>
      </c>
      <c r="K67" t="str">
        <f>REPLACE(J67,FIND("ABC",J67,1),3,$I$2)</f>
        <v>3.9. ABC Market Trade Analysis</v>
      </c>
    </row>
    <row r="68" spans="10:11" x14ac:dyDescent="0.25">
      <c r="J68" t="s">
        <v>230</v>
      </c>
      <c r="K68" t="str">
        <f>REPLACE(J68,FIND("ABC",J68,1),3,$I$2)</f>
        <v>3.10. The Global Pandemic Impact on ABC Market</v>
      </c>
    </row>
    <row r="70" spans="10:11" x14ac:dyDescent="0.25">
      <c r="J70" t="s">
        <v>818</v>
      </c>
      <c r="K70" t="str">
        <f>REPLACE(J70,FIND("ABC",J70,1),3,$I$2)</f>
        <v>&lt;strong&gt;4. ABC Market: Global Market Size and Forecast by Segmentation by Demand and Supply Side (by Value in USD Million) 2024-2032&lt;/strong&gt;</v>
      </c>
    </row>
    <row r="71" spans="10:11" x14ac:dyDescent="0.25">
      <c r="J71" t="s">
        <v>819</v>
      </c>
      <c r="K71" t="str">
        <f>REPLACE(IF(A2&gt;0,REPLACE(J71,39,8,A2),""),6,3,I2)</f>
        <v>4.1. ABC Market Size and Forecast, by AA (2024-2032)</v>
      </c>
    </row>
    <row r="72" spans="10:11" x14ac:dyDescent="0.25">
      <c r="J72" t="s">
        <v>4</v>
      </c>
      <c r="K72" t="str">
        <f t="shared" ref="K72:K80" si="5">IF(A4&gt;0,REPLACE(J72,12,3,A4),"")</f>
        <v/>
      </c>
    </row>
    <row r="73" spans="10:11" x14ac:dyDescent="0.25">
      <c r="J73" t="s">
        <v>5</v>
      </c>
      <c r="K73" t="str">
        <f t="shared" si="5"/>
        <v/>
      </c>
    </row>
    <row r="74" spans="10:11" x14ac:dyDescent="0.25">
      <c r="J74" t="s">
        <v>6</v>
      </c>
      <c r="K74" t="str">
        <f t="shared" si="5"/>
        <v/>
      </c>
    </row>
    <row r="75" spans="10:11" x14ac:dyDescent="0.25">
      <c r="J75" t="s">
        <v>7</v>
      </c>
      <c r="K75" t="str">
        <f t="shared" si="5"/>
        <v/>
      </c>
    </row>
    <row r="76" spans="10:11" x14ac:dyDescent="0.25">
      <c r="J76" t="s">
        <v>8</v>
      </c>
      <c r="K76" t="str">
        <f t="shared" si="5"/>
        <v/>
      </c>
    </row>
    <row r="77" spans="10:11" x14ac:dyDescent="0.25">
      <c r="J77" t="s">
        <v>9</v>
      </c>
      <c r="K77" t="str">
        <f t="shared" si="5"/>
        <v/>
      </c>
    </row>
    <row r="78" spans="10:11" x14ac:dyDescent="0.25">
      <c r="J78" t="s">
        <v>10</v>
      </c>
      <c r="K78" t="str">
        <f t="shared" si="5"/>
        <v/>
      </c>
    </row>
    <row r="79" spans="10:11" x14ac:dyDescent="0.25">
      <c r="J79" t="s">
        <v>11</v>
      </c>
      <c r="K79" t="str">
        <f t="shared" si="5"/>
        <v/>
      </c>
    </row>
    <row r="80" spans="10:11" x14ac:dyDescent="0.25">
      <c r="J80" t="s">
        <v>12</v>
      </c>
      <c r="K80" t="str">
        <f t="shared" si="5"/>
        <v/>
      </c>
    </row>
    <row r="81" spans="10:11" x14ac:dyDescent="0.25">
      <c r="J81" t="s">
        <v>123</v>
      </c>
      <c r="K81" t="str">
        <f t="shared" ref="K81:K86" si="6">IF(A13&gt;0,REPLACE(J81,13,4,A13),"")</f>
        <v/>
      </c>
    </row>
    <row r="82" spans="10:11" x14ac:dyDescent="0.25">
      <c r="J82" t="s">
        <v>124</v>
      </c>
      <c r="K82" t="str">
        <f t="shared" si="6"/>
        <v/>
      </c>
    </row>
    <row r="83" spans="10:11" x14ac:dyDescent="0.25">
      <c r="J83" t="s">
        <v>125</v>
      </c>
      <c r="K83" t="str">
        <f t="shared" si="6"/>
        <v/>
      </c>
    </row>
    <row r="84" spans="10:11" x14ac:dyDescent="0.25">
      <c r="J84" t="s">
        <v>126</v>
      </c>
      <c r="K84" t="str">
        <f t="shared" si="6"/>
        <v/>
      </c>
    </row>
    <row r="85" spans="10:11" x14ac:dyDescent="0.25">
      <c r="J85" t="s">
        <v>127</v>
      </c>
      <c r="K85" t="str">
        <f t="shared" si="6"/>
        <v/>
      </c>
    </row>
    <row r="86" spans="10:11" x14ac:dyDescent="0.25">
      <c r="J86" t="s">
        <v>128</v>
      </c>
      <c r="K86" t="str">
        <f t="shared" si="6"/>
        <v/>
      </c>
    </row>
    <row r="87" spans="10:11" x14ac:dyDescent="0.25">
      <c r="J87" t="s">
        <v>820</v>
      </c>
      <c r="K87" t="str">
        <f>REPLACE(IF(B2&gt;0,REPLACE(J87,39,8,B2),""),6,3,I2)</f>
        <v>4.2. ABC Market Size and Forecast, by BB (2024-2032)</v>
      </c>
    </row>
    <row r="88" spans="10:11" x14ac:dyDescent="0.25">
      <c r="J88" t="s">
        <v>13</v>
      </c>
      <c r="K88" t="str">
        <f t="shared" ref="K88:K96" si="7">IF(B4&gt;0,REPLACE(J88,12,3,B4),"")</f>
        <v/>
      </c>
    </row>
    <row r="89" spans="10:11" x14ac:dyDescent="0.25">
      <c r="J89" t="s">
        <v>14</v>
      </c>
      <c r="K89" t="str">
        <f t="shared" si="7"/>
        <v/>
      </c>
    </row>
    <row r="90" spans="10:11" x14ac:dyDescent="0.25">
      <c r="J90" t="s">
        <v>15</v>
      </c>
      <c r="K90" t="str">
        <f t="shared" si="7"/>
        <v/>
      </c>
    </row>
    <row r="91" spans="10:11" x14ac:dyDescent="0.25">
      <c r="J91" t="s">
        <v>16</v>
      </c>
      <c r="K91" t="str">
        <f t="shared" si="7"/>
        <v/>
      </c>
    </row>
    <row r="92" spans="10:11" x14ac:dyDescent="0.25">
      <c r="J92" t="s">
        <v>17</v>
      </c>
      <c r="K92" t="str">
        <f t="shared" si="7"/>
        <v/>
      </c>
    </row>
    <row r="93" spans="10:11" x14ac:dyDescent="0.25">
      <c r="J93" t="s">
        <v>18</v>
      </c>
      <c r="K93" t="str">
        <f t="shared" si="7"/>
        <v/>
      </c>
    </row>
    <row r="94" spans="10:11" x14ac:dyDescent="0.25">
      <c r="J94" t="s">
        <v>19</v>
      </c>
      <c r="K94" t="str">
        <f t="shared" si="7"/>
        <v/>
      </c>
    </row>
    <row r="95" spans="10:11" x14ac:dyDescent="0.25">
      <c r="J95" t="s">
        <v>20</v>
      </c>
      <c r="K95" t="str">
        <f t="shared" si="7"/>
        <v/>
      </c>
    </row>
    <row r="96" spans="10:11" x14ac:dyDescent="0.25">
      <c r="J96" t="s">
        <v>21</v>
      </c>
      <c r="K96" t="str">
        <f t="shared" si="7"/>
        <v/>
      </c>
    </row>
    <row r="97" spans="10:11" x14ac:dyDescent="0.25">
      <c r="J97" t="s">
        <v>129</v>
      </c>
      <c r="K97" t="str">
        <f t="shared" ref="K97:K102" si="8">IF(B13&gt;0,REPLACE(J97,13,4,B13),"")</f>
        <v/>
      </c>
    </row>
    <row r="98" spans="10:11" x14ac:dyDescent="0.25">
      <c r="J98" t="s">
        <v>130</v>
      </c>
      <c r="K98" t="str">
        <f t="shared" si="8"/>
        <v/>
      </c>
    </row>
    <row r="99" spans="10:11" x14ac:dyDescent="0.25">
      <c r="J99" t="s">
        <v>131</v>
      </c>
      <c r="K99" t="str">
        <f t="shared" si="8"/>
        <v/>
      </c>
    </row>
    <row r="100" spans="10:11" x14ac:dyDescent="0.25">
      <c r="J100" t="s">
        <v>132</v>
      </c>
      <c r="K100" t="str">
        <f t="shared" si="8"/>
        <v/>
      </c>
    </row>
    <row r="101" spans="10:11" x14ac:dyDescent="0.25">
      <c r="J101" t="s">
        <v>133</v>
      </c>
      <c r="K101" t="str">
        <f t="shared" si="8"/>
        <v/>
      </c>
    </row>
    <row r="102" spans="10:11" x14ac:dyDescent="0.25">
      <c r="J102" t="s">
        <v>134</v>
      </c>
      <c r="K102" t="str">
        <f t="shared" si="8"/>
        <v/>
      </c>
    </row>
    <row r="103" spans="10:11" x14ac:dyDescent="0.25">
      <c r="J103" t="s">
        <v>821</v>
      </c>
      <c r="K103" t="str">
        <f>REPLACE(IF(C2&gt;0,REPLACE(J103,39,8,C2),""),6,3,I2)</f>
        <v>4.3. ABC Market Size and Forecast, by CC (2024-2032)</v>
      </c>
    </row>
    <row r="104" spans="10:11" x14ac:dyDescent="0.25">
      <c r="J104" t="s">
        <v>22</v>
      </c>
      <c r="K104" t="str">
        <f t="shared" ref="K104:K112" si="9">IF(C4&gt;0,REPLACE(J104,12,3,C4),"")</f>
        <v/>
      </c>
    </row>
    <row r="105" spans="10:11" x14ac:dyDescent="0.25">
      <c r="J105" t="s">
        <v>23</v>
      </c>
      <c r="K105" t="str">
        <f t="shared" si="9"/>
        <v/>
      </c>
    </row>
    <row r="106" spans="10:11" x14ac:dyDescent="0.25">
      <c r="J106" t="s">
        <v>24</v>
      </c>
      <c r="K106" t="str">
        <f t="shared" si="9"/>
        <v/>
      </c>
    </row>
    <row r="107" spans="10:11" x14ac:dyDescent="0.25">
      <c r="J107" t="s">
        <v>25</v>
      </c>
      <c r="K107" t="str">
        <f t="shared" si="9"/>
        <v/>
      </c>
    </row>
    <row r="108" spans="10:11" x14ac:dyDescent="0.25">
      <c r="J108" t="s">
        <v>26</v>
      </c>
      <c r="K108" t="str">
        <f t="shared" si="9"/>
        <v/>
      </c>
    </row>
    <row r="109" spans="10:11" x14ac:dyDescent="0.25">
      <c r="J109" t="s">
        <v>27</v>
      </c>
      <c r="K109" t="str">
        <f t="shared" si="9"/>
        <v/>
      </c>
    </row>
    <row r="110" spans="10:11" x14ac:dyDescent="0.25">
      <c r="J110" t="s">
        <v>28</v>
      </c>
      <c r="K110" t="str">
        <f t="shared" si="9"/>
        <v/>
      </c>
    </row>
    <row r="111" spans="10:11" x14ac:dyDescent="0.25">
      <c r="J111" t="s">
        <v>29</v>
      </c>
      <c r="K111" t="str">
        <f t="shared" si="9"/>
        <v/>
      </c>
    </row>
    <row r="112" spans="10:11" x14ac:dyDescent="0.25">
      <c r="J112" t="s">
        <v>30</v>
      </c>
      <c r="K112" t="str">
        <f t="shared" si="9"/>
        <v/>
      </c>
    </row>
    <row r="113" spans="10:11" x14ac:dyDescent="0.25">
      <c r="J113" t="s">
        <v>135</v>
      </c>
      <c r="K113" t="str">
        <f t="shared" ref="K113:K118" si="10">IF(C13&gt;0,REPLACE(J113,13,4,C13),"")</f>
        <v/>
      </c>
    </row>
    <row r="114" spans="10:11" x14ac:dyDescent="0.25">
      <c r="J114" t="s">
        <v>136</v>
      </c>
      <c r="K114" t="str">
        <f t="shared" si="10"/>
        <v/>
      </c>
    </row>
    <row r="115" spans="10:11" x14ac:dyDescent="0.25">
      <c r="J115" t="s">
        <v>137</v>
      </c>
      <c r="K115" t="str">
        <f t="shared" si="10"/>
        <v/>
      </c>
    </row>
    <row r="116" spans="10:11" x14ac:dyDescent="0.25">
      <c r="J116" t="s">
        <v>138</v>
      </c>
      <c r="K116" t="str">
        <f t="shared" si="10"/>
        <v/>
      </c>
    </row>
    <row r="117" spans="10:11" x14ac:dyDescent="0.25">
      <c r="J117" t="s">
        <v>139</v>
      </c>
      <c r="K117" t="str">
        <f t="shared" si="10"/>
        <v/>
      </c>
    </row>
    <row r="118" spans="10:11" x14ac:dyDescent="0.25">
      <c r="J118" t="s">
        <v>140</v>
      </c>
      <c r="K118" t="str">
        <f t="shared" si="10"/>
        <v/>
      </c>
    </row>
    <row r="119" spans="10:11" ht="14.25" customHeight="1" x14ac:dyDescent="0.25">
      <c r="J119" t="s">
        <v>822</v>
      </c>
      <c r="K119" t="str">
        <f>REPLACE(IF(D2&gt;0,REPLACE(J119,39,8,D2),""),6,3,I2)</f>
        <v>4.4. ABC Market Size and Forecast, by DD (2024-2032)</v>
      </c>
    </row>
    <row r="120" spans="10:11" x14ac:dyDescent="0.25">
      <c r="J120" t="s">
        <v>31</v>
      </c>
      <c r="K120" t="str">
        <f t="shared" ref="K120:K128" si="11">IF(D4&gt;0,REPLACE(J120,12,3,D4),"")</f>
        <v/>
      </c>
    </row>
    <row r="121" spans="10:11" x14ac:dyDescent="0.25">
      <c r="J121" t="s">
        <v>32</v>
      </c>
      <c r="K121" t="str">
        <f t="shared" si="11"/>
        <v/>
      </c>
    </row>
    <row r="122" spans="10:11" x14ac:dyDescent="0.25">
      <c r="J122" t="s">
        <v>33</v>
      </c>
      <c r="K122" t="str">
        <f t="shared" si="11"/>
        <v/>
      </c>
    </row>
    <row r="123" spans="10:11" x14ac:dyDescent="0.25">
      <c r="J123" t="s">
        <v>34</v>
      </c>
      <c r="K123" t="str">
        <f t="shared" si="11"/>
        <v/>
      </c>
    </row>
    <row r="124" spans="10:11" x14ac:dyDescent="0.25">
      <c r="J124" t="s">
        <v>35</v>
      </c>
      <c r="K124" t="str">
        <f t="shared" si="11"/>
        <v/>
      </c>
    </row>
    <row r="125" spans="10:11" x14ac:dyDescent="0.25">
      <c r="J125" t="s">
        <v>36</v>
      </c>
      <c r="K125" t="str">
        <f t="shared" si="11"/>
        <v/>
      </c>
    </row>
    <row r="126" spans="10:11" x14ac:dyDescent="0.25">
      <c r="J126" t="s">
        <v>37</v>
      </c>
      <c r="K126" t="str">
        <f t="shared" si="11"/>
        <v/>
      </c>
    </row>
    <row r="127" spans="10:11" x14ac:dyDescent="0.25">
      <c r="J127" t="s">
        <v>38</v>
      </c>
      <c r="K127" t="str">
        <f t="shared" si="11"/>
        <v/>
      </c>
    </row>
    <row r="128" spans="10:11" x14ac:dyDescent="0.25">
      <c r="J128" t="s">
        <v>39</v>
      </c>
      <c r="K128" t="str">
        <f t="shared" si="11"/>
        <v/>
      </c>
    </row>
    <row r="129" spans="10:11" x14ac:dyDescent="0.25">
      <c r="J129" t="s">
        <v>141</v>
      </c>
      <c r="K129" t="str">
        <f t="shared" ref="K129:K134" si="12">IF(D13&gt;0,REPLACE(J129,13,4,D13),"")</f>
        <v/>
      </c>
    </row>
    <row r="130" spans="10:11" x14ac:dyDescent="0.25">
      <c r="J130" t="s">
        <v>142</v>
      </c>
      <c r="K130" t="str">
        <f t="shared" si="12"/>
        <v/>
      </c>
    </row>
    <row r="131" spans="10:11" x14ac:dyDescent="0.25">
      <c r="J131" t="s">
        <v>143</v>
      </c>
      <c r="K131" t="str">
        <f t="shared" si="12"/>
        <v/>
      </c>
    </row>
    <row r="132" spans="10:11" x14ac:dyDescent="0.25">
      <c r="J132" t="s">
        <v>144</v>
      </c>
      <c r="K132" t="str">
        <f t="shared" si="12"/>
        <v/>
      </c>
    </row>
    <row r="133" spans="10:11" x14ac:dyDescent="0.25">
      <c r="J133" t="s">
        <v>145</v>
      </c>
      <c r="K133" t="str">
        <f t="shared" si="12"/>
        <v/>
      </c>
    </row>
    <row r="134" spans="10:11" x14ac:dyDescent="0.25">
      <c r="J134" t="s">
        <v>146</v>
      </c>
      <c r="K134" t="str">
        <f t="shared" si="12"/>
        <v/>
      </c>
    </row>
    <row r="135" spans="10:11" x14ac:dyDescent="0.25">
      <c r="J135" t="s">
        <v>1949</v>
      </c>
      <c r="K135" t="str">
        <f>REPLACE(J135,6,3,I2)</f>
        <v>4.5. ABC Market Size and Forecast, by Region (2024-2032)</v>
      </c>
    </row>
    <row r="136" spans="10:11" x14ac:dyDescent="0.25">
      <c r="J136" t="s">
        <v>1950</v>
      </c>
      <c r="K136" t="str">
        <f>J136</f>
        <v>&lt;em&gt;4.5.1. North America&lt;/em&gt;</v>
      </c>
    </row>
    <row r="137" spans="10:11" x14ac:dyDescent="0.25">
      <c r="J137" t="s">
        <v>1951</v>
      </c>
      <c r="K137" t="str">
        <f>J137</f>
        <v>&lt;em&gt;4.5.2. Europe&lt;/em&gt;</v>
      </c>
    </row>
    <row r="138" spans="10:11" x14ac:dyDescent="0.25">
      <c r="J138" t="s">
        <v>1952</v>
      </c>
      <c r="K138" t="str">
        <f>J138</f>
        <v>&lt;em&gt;4.5.3. Asia Pacific&lt;/em&gt;</v>
      </c>
    </row>
    <row r="139" spans="10:11" x14ac:dyDescent="0.25">
      <c r="J139" t="s">
        <v>1953</v>
      </c>
      <c r="K139" t="str">
        <f>J139</f>
        <v>&lt;em&gt;4.5.4. Middle East and Africa&lt;/em&gt;</v>
      </c>
    </row>
    <row r="140" spans="10:11" x14ac:dyDescent="0.25">
      <c r="J140" t="s">
        <v>1954</v>
      </c>
      <c r="K140" t="str">
        <f>J140</f>
        <v>&lt;em&gt;4.5.5. South America&lt;/em&gt;</v>
      </c>
    </row>
    <row r="142" spans="10:11" x14ac:dyDescent="0.25">
      <c r="J142" t="s">
        <v>827</v>
      </c>
      <c r="K142" t="str">
        <f>REPLACE(J142,FIND("ABC",J142,1),3,I2)</f>
        <v>&lt;strong&gt;5. North America ABC Market Size and Forecast by Segmentation (by Value in USD Million) 2024-2032&lt;/strong&gt;</v>
      </c>
    </row>
    <row r="143" spans="10:11" x14ac:dyDescent="0.25">
      <c r="J143" t="s">
        <v>828</v>
      </c>
      <c r="K143" t="str">
        <f>REPLACE(IF(A2&gt;0,REPLACE(J143,53,8,A2),""),20,3,I2)</f>
        <v>5.1. North America ABC Market Size and Forecast, by AA (2024-2032)</v>
      </c>
    </row>
    <row r="144" spans="10:11" x14ac:dyDescent="0.25">
      <c r="J144" t="s">
        <v>236</v>
      </c>
      <c r="K144" t="str">
        <f>IF(A4&gt;0,REPLACE(J144,12,3,A4),"")</f>
        <v/>
      </c>
    </row>
    <row r="145" spans="10:11" x14ac:dyDescent="0.25">
      <c r="J145" t="s">
        <v>237</v>
      </c>
      <c r="K145" t="str">
        <f>IF(A5&gt;0,REPLACE(J145,12,3,A5),"")</f>
        <v/>
      </c>
    </row>
    <row r="146" spans="10:11" x14ac:dyDescent="0.25">
      <c r="J146" t="s">
        <v>238</v>
      </c>
      <c r="K146" t="str">
        <f>IF(A6&gt;0,REPLACE(J146,12,3,A6),"")</f>
        <v/>
      </c>
    </row>
    <row r="147" spans="10:11" x14ac:dyDescent="0.25">
      <c r="J147" t="s">
        <v>239</v>
      </c>
      <c r="K147" t="str">
        <f>IF(A7&gt;0,REPLACE(J147,12,3,A7),"")</f>
        <v/>
      </c>
    </row>
    <row r="148" spans="10:11" x14ac:dyDescent="0.25">
      <c r="J148" t="s">
        <v>240</v>
      </c>
      <c r="K148" t="str">
        <f>IF(A8&gt;0,REPLACE(J148,12,3,A8),"")</f>
        <v/>
      </c>
    </row>
    <row r="149" spans="10:11" x14ac:dyDescent="0.25">
      <c r="J149" t="s">
        <v>241</v>
      </c>
      <c r="K149" t="str">
        <f>IF(A9&gt;0,REPLACE(J149,12,3,A9),"")</f>
        <v/>
      </c>
    </row>
    <row r="150" spans="10:11" x14ac:dyDescent="0.25">
      <c r="J150" t="s">
        <v>242</v>
      </c>
      <c r="K150" t="str">
        <f>IF(A10&gt;0,REPLACE(J150,12,3,A10),"")</f>
        <v/>
      </c>
    </row>
    <row r="151" spans="10:11" x14ac:dyDescent="0.25">
      <c r="J151" t="s">
        <v>243</v>
      </c>
      <c r="K151" t="str">
        <f>IF(A11&gt;0,REPLACE(J151,12,3,A11),"")</f>
        <v/>
      </c>
    </row>
    <row r="152" spans="10:11" x14ac:dyDescent="0.25">
      <c r="J152" t="s">
        <v>244</v>
      </c>
      <c r="K152" t="str">
        <f>IF(A12&gt;0,REPLACE(J152,12,3,A12),"")</f>
        <v/>
      </c>
    </row>
    <row r="153" spans="10:11" x14ac:dyDescent="0.25">
      <c r="J153" t="s">
        <v>245</v>
      </c>
      <c r="K153" t="str">
        <f>IF(A13&gt;0,REPLACE(J153,13,4,A13),"")</f>
        <v/>
      </c>
    </row>
    <row r="154" spans="10:11" x14ac:dyDescent="0.25">
      <c r="J154" t="s">
        <v>246</v>
      </c>
      <c r="K154" t="str">
        <f>IF(A14&gt;0,REPLACE(J154,13,4,A14),"")</f>
        <v/>
      </c>
    </row>
    <row r="155" spans="10:11" x14ac:dyDescent="0.25">
      <c r="J155" t="s">
        <v>247</v>
      </c>
      <c r="K155" t="str">
        <f>IF(A15&gt;0,REPLACE(J155,13,4,A15),"")</f>
        <v/>
      </c>
    </row>
    <row r="156" spans="10:11" x14ac:dyDescent="0.25">
      <c r="J156" t="s">
        <v>248</v>
      </c>
      <c r="K156" t="str">
        <f>IF(A16&gt;0,REPLACE(J156,13,4,A16),"")</f>
        <v/>
      </c>
    </row>
    <row r="157" spans="10:11" x14ac:dyDescent="0.25">
      <c r="J157" t="s">
        <v>249</v>
      </c>
      <c r="K157" t="str">
        <f>IF(A17&gt;0,REPLACE(J157,13,4,A17),"")</f>
        <v/>
      </c>
    </row>
    <row r="158" spans="10:11" x14ac:dyDescent="0.25">
      <c r="J158" t="s">
        <v>250</v>
      </c>
      <c r="K158" t="str">
        <f>IF(A18&gt;0,REPLACE(J158,13,4,A18),"")</f>
        <v/>
      </c>
    </row>
    <row r="159" spans="10:11" x14ac:dyDescent="0.25">
      <c r="J159" t="s">
        <v>829</v>
      </c>
      <c r="K159" t="str">
        <f>REPLACE(IF(B2&gt;0,REPLACE(J159,53,8,B2),""),20,3,I2)</f>
        <v>5.2. North America ABC Market Size and Forecast, by BB (2024-2032)</v>
      </c>
    </row>
    <row r="160" spans="10:11" x14ac:dyDescent="0.25">
      <c r="J160" t="s">
        <v>251</v>
      </c>
      <c r="K160" t="str">
        <f>IF(B4&gt;0,REPLACE(J160,12,3,B4),"")</f>
        <v/>
      </c>
    </row>
    <row r="161" spans="10:11" x14ac:dyDescent="0.25">
      <c r="J161" t="s">
        <v>252</v>
      </c>
      <c r="K161" t="str">
        <f>IF(B5&gt;0,REPLACE(J161,12,3,B5),"")</f>
        <v/>
      </c>
    </row>
    <row r="162" spans="10:11" x14ac:dyDescent="0.25">
      <c r="J162" t="s">
        <v>253</v>
      </c>
      <c r="K162" t="str">
        <f>IF(B6&gt;0,REPLACE(J162,12,3,B6),"")</f>
        <v/>
      </c>
    </row>
    <row r="163" spans="10:11" x14ac:dyDescent="0.25">
      <c r="J163" t="s">
        <v>254</v>
      </c>
      <c r="K163" t="str">
        <f>IF(B7&gt;0,REPLACE(J163,12,3,B7),"")</f>
        <v/>
      </c>
    </row>
    <row r="164" spans="10:11" x14ac:dyDescent="0.25">
      <c r="J164" t="s">
        <v>255</v>
      </c>
      <c r="K164" t="str">
        <f>IF(B8&gt;0,REPLACE(J164,12,3,B8),"")</f>
        <v/>
      </c>
    </row>
    <row r="165" spans="10:11" x14ac:dyDescent="0.25">
      <c r="J165" t="s">
        <v>256</v>
      </c>
      <c r="K165" t="str">
        <f>IF(B9&gt;0,REPLACE(J165,12,3,B9),"")</f>
        <v/>
      </c>
    </row>
    <row r="166" spans="10:11" x14ac:dyDescent="0.25">
      <c r="J166" t="s">
        <v>257</v>
      </c>
      <c r="K166" t="str">
        <f>IF(B10&gt;0,REPLACE(J166,12,3,B10),"")</f>
        <v/>
      </c>
    </row>
    <row r="167" spans="10:11" x14ac:dyDescent="0.25">
      <c r="J167" t="s">
        <v>258</v>
      </c>
      <c r="K167" t="str">
        <f>IF(B11&gt;0,REPLACE(J167,12,3,B11),"")</f>
        <v/>
      </c>
    </row>
    <row r="168" spans="10:11" x14ac:dyDescent="0.25">
      <c r="J168" t="s">
        <v>259</v>
      </c>
      <c r="K168" t="str">
        <f>IF(B12&gt;0,REPLACE(J168,12,3,B12),"")</f>
        <v/>
      </c>
    </row>
    <row r="169" spans="10:11" x14ac:dyDescent="0.25">
      <c r="J169" t="s">
        <v>260</v>
      </c>
      <c r="K169" t="str">
        <f>IF(B13&gt;0,REPLACE(J169,13,4,B13),"")</f>
        <v/>
      </c>
    </row>
    <row r="170" spans="10:11" x14ac:dyDescent="0.25">
      <c r="J170" t="s">
        <v>261</v>
      </c>
      <c r="K170" t="str">
        <f>IF(B14&gt;0,REPLACE(J170,13,4,B14),"")</f>
        <v/>
      </c>
    </row>
    <row r="171" spans="10:11" x14ac:dyDescent="0.25">
      <c r="J171" t="s">
        <v>262</v>
      </c>
      <c r="K171" t="str">
        <f>IF(B15&gt;0,REPLACE(J171,13,4,B15),"")</f>
        <v/>
      </c>
    </row>
    <row r="172" spans="10:11" x14ac:dyDescent="0.25">
      <c r="J172" t="s">
        <v>263</v>
      </c>
      <c r="K172" t="str">
        <f>IF(B16&gt;0,REPLACE(J172,13,4,B16),"")</f>
        <v/>
      </c>
    </row>
    <row r="173" spans="10:11" x14ac:dyDescent="0.25">
      <c r="J173" t="s">
        <v>264</v>
      </c>
      <c r="K173" t="str">
        <f>IF(B17&gt;0,REPLACE(J173,13,4,B17),"")</f>
        <v/>
      </c>
    </row>
    <row r="174" spans="10:11" x14ac:dyDescent="0.25">
      <c r="J174" t="s">
        <v>265</v>
      </c>
      <c r="K174" t="str">
        <f>IF(B18&gt;0,REPLACE(J174,13,4,B18),"")</f>
        <v/>
      </c>
    </row>
    <row r="175" spans="10:11" x14ac:dyDescent="0.25">
      <c r="J175" t="s">
        <v>830</v>
      </c>
      <c r="K175" t="str">
        <f>REPLACE(IF(C2&gt;0,REPLACE(J175,53,8,C2),""),20,3,I2)</f>
        <v>5.3. North America ABC Market Size and Forecast, by CC (2024-2032)</v>
      </c>
    </row>
    <row r="176" spans="10:11" x14ac:dyDescent="0.25">
      <c r="J176" t="s">
        <v>399</v>
      </c>
      <c r="K176" t="str">
        <f>IF(C4&gt;0,REPLACE(J176,12,3,C4),"")</f>
        <v/>
      </c>
    </row>
    <row r="177" spans="10:11" x14ac:dyDescent="0.25">
      <c r="J177" t="s">
        <v>400</v>
      </c>
      <c r="K177" t="str">
        <f>IF(C5&gt;0,REPLACE(J177,12,3,C5),"")</f>
        <v/>
      </c>
    </row>
    <row r="178" spans="10:11" x14ac:dyDescent="0.25">
      <c r="J178" t="s">
        <v>401</v>
      </c>
      <c r="K178" t="str">
        <f>IF(C6&gt;0,REPLACE(J178,12,3,C6),"")</f>
        <v/>
      </c>
    </row>
    <row r="179" spans="10:11" x14ac:dyDescent="0.25">
      <c r="J179" t="s">
        <v>402</v>
      </c>
      <c r="K179" t="str">
        <f>IF(C7&gt;0,REPLACE(J179,12,3,C7),"")</f>
        <v/>
      </c>
    </row>
    <row r="180" spans="10:11" x14ac:dyDescent="0.25">
      <c r="J180" t="s">
        <v>403</v>
      </c>
      <c r="K180" t="str">
        <f>IF(C8&gt;0,REPLACE(J180,12,3,C8),"")</f>
        <v/>
      </c>
    </row>
    <row r="181" spans="10:11" x14ac:dyDescent="0.25">
      <c r="J181" t="s">
        <v>404</v>
      </c>
      <c r="K181" t="str">
        <f>IF(C9&gt;0,REPLACE(J181,12,3,C9),"")</f>
        <v/>
      </c>
    </row>
    <row r="182" spans="10:11" x14ac:dyDescent="0.25">
      <c r="J182" t="s">
        <v>405</v>
      </c>
      <c r="K182" t="str">
        <f>IF(C10&gt;0,REPLACE(J182,12,3,C10),"")</f>
        <v/>
      </c>
    </row>
    <row r="183" spans="10:11" x14ac:dyDescent="0.25">
      <c r="J183" t="s">
        <v>406</v>
      </c>
      <c r="K183" t="str">
        <f>IF(C11&gt;0,REPLACE(J183,12,3,C11),"")</f>
        <v/>
      </c>
    </row>
    <row r="184" spans="10:11" x14ac:dyDescent="0.25">
      <c r="J184" t="s">
        <v>407</v>
      </c>
      <c r="K184" t="str">
        <f>IF(C12&gt;0,REPLACE(J184,12,3,C12),"")</f>
        <v/>
      </c>
    </row>
    <row r="185" spans="10:11" x14ac:dyDescent="0.25">
      <c r="J185" t="s">
        <v>408</v>
      </c>
      <c r="K185" t="str">
        <f>IF(C13&gt;0,REPLACE(J185,13,4,C13),"")</f>
        <v/>
      </c>
    </row>
    <row r="186" spans="10:11" x14ac:dyDescent="0.25">
      <c r="J186" t="s">
        <v>409</v>
      </c>
      <c r="K186" t="str">
        <f>IF(C14&gt;0,REPLACE(J186,13,4,C14),"")</f>
        <v/>
      </c>
    </row>
    <row r="187" spans="10:11" x14ac:dyDescent="0.25">
      <c r="J187" t="s">
        <v>410</v>
      </c>
      <c r="K187" t="str">
        <f>IF(C15&gt;0,REPLACE(J187,13,4,C15),"")</f>
        <v/>
      </c>
    </row>
    <row r="188" spans="10:11" x14ac:dyDescent="0.25">
      <c r="J188" t="s">
        <v>411</v>
      </c>
      <c r="K188" t="str">
        <f>IF(C16&gt;0,REPLACE(J188,13,4,C16),"")</f>
        <v/>
      </c>
    </row>
    <row r="189" spans="10:11" x14ac:dyDescent="0.25">
      <c r="J189" t="s">
        <v>412</v>
      </c>
      <c r="K189" t="str">
        <f>IF(C17&gt;0,REPLACE(J189,13,4,C17),"")</f>
        <v/>
      </c>
    </row>
    <row r="190" spans="10:11" x14ac:dyDescent="0.25">
      <c r="J190" t="s">
        <v>413</v>
      </c>
      <c r="K190" t="str">
        <f>IF(C18&gt;0,REPLACE(J190,13,4,C18),"")</f>
        <v/>
      </c>
    </row>
    <row r="191" spans="10:11" x14ac:dyDescent="0.25">
      <c r="J191" t="s">
        <v>831</v>
      </c>
      <c r="K191" t="str">
        <f>REPLACE(IF(D2&gt;0,REPLACE(J191,53,8,D2),""),20,3,I2)</f>
        <v>5.4. North America ABC Market Size and Forecast, by DD (2024-2032)</v>
      </c>
    </row>
    <row r="192" spans="10:11" x14ac:dyDescent="0.25">
      <c r="J192" t="s">
        <v>414</v>
      </c>
      <c r="K192" t="str">
        <f>IF(D4&gt;0,REPLACE(J192,12,3,D4),"")</f>
        <v/>
      </c>
    </row>
    <row r="193" spans="10:11" x14ac:dyDescent="0.25">
      <c r="J193" t="s">
        <v>415</v>
      </c>
      <c r="K193" t="str">
        <f>IF(D5&gt;0,REPLACE(J193,12,3,D5),"")</f>
        <v/>
      </c>
    </row>
    <row r="194" spans="10:11" x14ac:dyDescent="0.25">
      <c r="J194" t="s">
        <v>416</v>
      </c>
      <c r="K194" t="str">
        <f>IF(D6&gt;0,REPLACE(J194,12,3,D6),"")</f>
        <v/>
      </c>
    </row>
    <row r="195" spans="10:11" x14ac:dyDescent="0.25">
      <c r="J195" t="s">
        <v>417</v>
      </c>
      <c r="K195" t="str">
        <f>IF(D7&gt;0,REPLACE(J195,12,3,D7),"")</f>
        <v/>
      </c>
    </row>
    <row r="196" spans="10:11" x14ac:dyDescent="0.25">
      <c r="J196" t="s">
        <v>418</v>
      </c>
      <c r="K196" t="str">
        <f>IF(D8&gt;0,REPLACE(J196,12,3,D8),"")</f>
        <v/>
      </c>
    </row>
    <row r="197" spans="10:11" x14ac:dyDescent="0.25">
      <c r="J197" t="s">
        <v>419</v>
      </c>
      <c r="K197" t="str">
        <f>IF(D9&gt;0,REPLACE(J197,12,3,D9),"")</f>
        <v/>
      </c>
    </row>
    <row r="198" spans="10:11" x14ac:dyDescent="0.25">
      <c r="J198" t="s">
        <v>420</v>
      </c>
      <c r="K198" t="str">
        <f>IF(D10&gt;0,REPLACE(J198,12,3,D10),"")</f>
        <v/>
      </c>
    </row>
    <row r="199" spans="10:11" x14ac:dyDescent="0.25">
      <c r="J199" t="s">
        <v>421</v>
      </c>
      <c r="K199" t="str">
        <f>IF(D11&gt;0,REPLACE(J199,12,3,D11),"")</f>
        <v/>
      </c>
    </row>
    <row r="200" spans="10:11" x14ac:dyDescent="0.25">
      <c r="J200" t="s">
        <v>422</v>
      </c>
      <c r="K200" t="str">
        <f>IF(D12&gt;0,REPLACE(J200,12,3,D12),"")</f>
        <v/>
      </c>
    </row>
    <row r="201" spans="10:11" x14ac:dyDescent="0.25">
      <c r="J201" t="s">
        <v>423</v>
      </c>
      <c r="K201" t="str">
        <f>IF(D13&gt;0,REPLACE(J201,13,4,D13),"")</f>
        <v/>
      </c>
    </row>
    <row r="202" spans="10:11" x14ac:dyDescent="0.25">
      <c r="J202" t="s">
        <v>424</v>
      </c>
      <c r="K202" t="str">
        <f>IF(D14&gt;0,REPLACE(J202,13,4,D14),"")</f>
        <v/>
      </c>
    </row>
    <row r="203" spans="10:11" x14ac:dyDescent="0.25">
      <c r="J203" t="s">
        <v>425</v>
      </c>
      <c r="K203" t="str">
        <f>IF(D15&gt;0,REPLACE(J203,13,4,D15),"")</f>
        <v/>
      </c>
    </row>
    <row r="204" spans="10:11" x14ac:dyDescent="0.25">
      <c r="J204" t="s">
        <v>426</v>
      </c>
      <c r="K204" t="str">
        <f>IF(D16&gt;0,REPLACE(J204,13,4,D16),"")</f>
        <v/>
      </c>
    </row>
    <row r="205" spans="10:11" x14ac:dyDescent="0.25">
      <c r="J205" t="s">
        <v>427</v>
      </c>
      <c r="K205" t="str">
        <f>IF(D17&gt;0,REPLACE(J205,13,4,D17),"")</f>
        <v/>
      </c>
    </row>
    <row r="206" spans="10:11" x14ac:dyDescent="0.25">
      <c r="J206" t="s">
        <v>428</v>
      </c>
      <c r="K206" t="str">
        <f>IF(D18&gt;0,REPLACE(J206,13,4,D18),"")</f>
        <v/>
      </c>
    </row>
    <row r="207" spans="10:11" x14ac:dyDescent="0.25">
      <c r="J207" t="s">
        <v>1955</v>
      </c>
      <c r="K207" t="str">
        <f>REPLACE(J207,20,3,I2)</f>
        <v>5.5. North America ABC Market Size and Forecast, by Country (2024-2032)</v>
      </c>
    </row>
    <row r="208" spans="10:11" x14ac:dyDescent="0.25">
      <c r="J208" t="s">
        <v>1956</v>
      </c>
      <c r="K208" t="str">
        <f>J208</f>
        <v>&lt;strong&gt;&lt;em&gt;5.5.1. United States&lt;/em&gt;&lt;/strong&gt;</v>
      </c>
    </row>
    <row r="209" spans="10:11" x14ac:dyDescent="0.25">
      <c r="J209" t="s">
        <v>1957</v>
      </c>
      <c r="K209" t="str">
        <f>REPLACE(IF(A2&gt;0,REPLACE(J209,61,8,A2),""),28,3,I2)</f>
        <v>&lt;em&gt;5.5.1.1. United States ABC Market Size and Forecast, by AA (2024-2032)&lt;/em&gt;</v>
      </c>
    </row>
    <row r="210" spans="10:11" x14ac:dyDescent="0.25">
      <c r="J210" t="s">
        <v>1958</v>
      </c>
      <c r="K210" t="str">
        <f>IF(A4&gt;0,REPLACE(J210,16,3,A4),"")</f>
        <v/>
      </c>
    </row>
    <row r="211" spans="10:11" x14ac:dyDescent="0.25">
      <c r="J211" t="s">
        <v>1959</v>
      </c>
      <c r="K211" t="str">
        <f>IF(A5&gt;0,REPLACE(J211,16,3,A5),"")</f>
        <v/>
      </c>
    </row>
    <row r="212" spans="10:11" x14ac:dyDescent="0.25">
      <c r="J212" t="s">
        <v>1960</v>
      </c>
      <c r="K212" t="str">
        <f>IF(A6&gt;0,REPLACE(J212,16,3,A6),"")</f>
        <v/>
      </c>
    </row>
    <row r="213" spans="10:11" x14ac:dyDescent="0.25">
      <c r="J213" t="s">
        <v>1961</v>
      </c>
      <c r="K213" t="str">
        <f>IF(A7&gt;0,REPLACE(J213,16,3,A7),"")</f>
        <v/>
      </c>
    </row>
    <row r="214" spans="10:11" x14ac:dyDescent="0.25">
      <c r="J214" t="s">
        <v>1962</v>
      </c>
      <c r="K214" t="str">
        <f>IF(A8&gt;0,REPLACE(J214,16,3,A8),"")</f>
        <v/>
      </c>
    </row>
    <row r="215" spans="10:11" x14ac:dyDescent="0.25">
      <c r="J215" t="s">
        <v>1963</v>
      </c>
      <c r="K215" t="str">
        <f>IF(A9&gt;0,REPLACE(J215,16,3,A9),"")</f>
        <v/>
      </c>
    </row>
    <row r="216" spans="10:11" x14ac:dyDescent="0.25">
      <c r="J216" t="s">
        <v>1964</v>
      </c>
      <c r="K216" t="str">
        <f>IF(A10&gt;0,REPLACE(J216,16,3,A10),"")</f>
        <v/>
      </c>
    </row>
    <row r="217" spans="10:11" x14ac:dyDescent="0.25">
      <c r="J217" t="s">
        <v>1965</v>
      </c>
      <c r="K217" t="str">
        <f>IF(A11&gt;0,REPLACE(J217,16,3,A11),"")</f>
        <v/>
      </c>
    </row>
    <row r="218" spans="10:11" x14ac:dyDescent="0.25">
      <c r="J218" t="s">
        <v>1966</v>
      </c>
      <c r="K218" t="str">
        <f>IF(A12&gt;0,REPLACE(J218,16,3,A12),"")</f>
        <v/>
      </c>
    </row>
    <row r="219" spans="10:11" x14ac:dyDescent="0.25">
      <c r="J219" t="s">
        <v>1967</v>
      </c>
      <c r="K219" t="str">
        <f>IF(A13&gt;0,REPLACE(J219,17,4,A13),"")</f>
        <v/>
      </c>
    </row>
    <row r="220" spans="10:11" x14ac:dyDescent="0.25">
      <c r="J220" t="s">
        <v>1968</v>
      </c>
      <c r="K220" t="str">
        <f>IF(A14&gt;0,REPLACE(J220,17,4,A14),"")</f>
        <v/>
      </c>
    </row>
    <row r="221" spans="10:11" x14ac:dyDescent="0.25">
      <c r="J221" t="s">
        <v>1969</v>
      </c>
      <c r="K221" t="str">
        <f>IF(A15&gt;0,REPLACE(J221,17,4,A15),"")</f>
        <v/>
      </c>
    </row>
    <row r="222" spans="10:11" x14ac:dyDescent="0.25">
      <c r="J222" t="s">
        <v>1970</v>
      </c>
      <c r="K222" t="str">
        <f>IF(A16&gt;0,REPLACE(J222,17,4,A16),"")</f>
        <v/>
      </c>
    </row>
    <row r="223" spans="10:11" x14ac:dyDescent="0.25">
      <c r="J223" t="s">
        <v>1971</v>
      </c>
      <c r="K223" t="str">
        <f>IF(A17&gt;0,REPLACE(J223,17,4,A17),"")</f>
        <v/>
      </c>
    </row>
    <row r="224" spans="10:11" x14ac:dyDescent="0.25">
      <c r="J224" t="s">
        <v>1972</v>
      </c>
      <c r="K224" t="str">
        <f>IF(A18&gt;0,REPLACE(J224,17,4,A18),"")</f>
        <v/>
      </c>
    </row>
    <row r="225" spans="10:11" x14ac:dyDescent="0.25">
      <c r="J225" t="s">
        <v>1973</v>
      </c>
      <c r="K225" t="str">
        <f>REPLACE(IF(B2&gt;0,REPLACE(J225,61,8,B2),""),28,3,I2)</f>
        <v>&lt;em&gt;5.5.1.2. United States ABC Market Size and Forecast, by BB (2024-2032)&lt;/em&gt;</v>
      </c>
    </row>
    <row r="226" spans="10:11" x14ac:dyDescent="0.25">
      <c r="J226" t="s">
        <v>1974</v>
      </c>
      <c r="K226" t="str">
        <f>IF(B4&gt;0,REPLACE(J226,16,3,B4),"")</f>
        <v/>
      </c>
    </row>
    <row r="227" spans="10:11" x14ac:dyDescent="0.25">
      <c r="J227" t="s">
        <v>1975</v>
      </c>
      <c r="K227" t="str">
        <f>IF(B5&gt;0,REPLACE(J227,16,3,B5),"")</f>
        <v/>
      </c>
    </row>
    <row r="228" spans="10:11" x14ac:dyDescent="0.25">
      <c r="J228" t="s">
        <v>1976</v>
      </c>
      <c r="K228" t="str">
        <f>IF(B6&gt;0,REPLACE(J228,16,3,B6),"")</f>
        <v/>
      </c>
    </row>
    <row r="229" spans="10:11" x14ac:dyDescent="0.25">
      <c r="J229" t="s">
        <v>1977</v>
      </c>
      <c r="K229" t="str">
        <f>IF(B7&gt;0,REPLACE(J229,16,3,B7),"")</f>
        <v/>
      </c>
    </row>
    <row r="230" spans="10:11" x14ac:dyDescent="0.25">
      <c r="J230" t="s">
        <v>1978</v>
      </c>
      <c r="K230" t="str">
        <f>IF(B8&gt;0,REPLACE(J230,16,3,B8),"")</f>
        <v/>
      </c>
    </row>
    <row r="231" spans="10:11" x14ac:dyDescent="0.25">
      <c r="J231" t="s">
        <v>1979</v>
      </c>
      <c r="K231" t="str">
        <f>IF(B9&gt;0,REPLACE(J231,16,3,B9),"")</f>
        <v/>
      </c>
    </row>
    <row r="232" spans="10:11" x14ac:dyDescent="0.25">
      <c r="J232" t="s">
        <v>1980</v>
      </c>
      <c r="K232" t="str">
        <f>IF(B10&gt;0,REPLACE(J232,16,3,B10),"")</f>
        <v/>
      </c>
    </row>
    <row r="233" spans="10:11" x14ac:dyDescent="0.25">
      <c r="J233" t="s">
        <v>1981</v>
      </c>
      <c r="K233" t="str">
        <f>IF(B11&gt;0,REPLACE(J233,16,3,B11),"")</f>
        <v/>
      </c>
    </row>
    <row r="234" spans="10:11" x14ac:dyDescent="0.25">
      <c r="J234" t="s">
        <v>1982</v>
      </c>
      <c r="K234" t="str">
        <f>IF(B12&gt;0,REPLACE(J234,16,3,B12),"")</f>
        <v/>
      </c>
    </row>
    <row r="235" spans="10:11" x14ac:dyDescent="0.25">
      <c r="J235" t="s">
        <v>1983</v>
      </c>
      <c r="K235" t="str">
        <f>IF(B13&gt;0,REPLACE(J235,17,4,B13),"")</f>
        <v/>
      </c>
    </row>
    <row r="236" spans="10:11" x14ac:dyDescent="0.25">
      <c r="J236" t="s">
        <v>1984</v>
      </c>
      <c r="K236" t="str">
        <f>IF(B14&gt;0,REPLACE(J236,17,4,B14),"")</f>
        <v/>
      </c>
    </row>
    <row r="237" spans="10:11" x14ac:dyDescent="0.25">
      <c r="J237" t="s">
        <v>1985</v>
      </c>
      <c r="K237" t="str">
        <f>IF(B15&gt;0,REPLACE(J237,17,4,B15),"")</f>
        <v/>
      </c>
    </row>
    <row r="238" spans="10:11" x14ac:dyDescent="0.25">
      <c r="J238" t="s">
        <v>1986</v>
      </c>
      <c r="K238" t="str">
        <f>IF(B16&gt;0,REPLACE(J238,17,4,B16),"")</f>
        <v/>
      </c>
    </row>
    <row r="239" spans="10:11" x14ac:dyDescent="0.25">
      <c r="J239" t="s">
        <v>1987</v>
      </c>
      <c r="K239" t="str">
        <f>IF(B17&gt;0,REPLACE(J239,17,4,B17),"")</f>
        <v/>
      </c>
    </row>
    <row r="240" spans="10:11" x14ac:dyDescent="0.25">
      <c r="J240" t="s">
        <v>1988</v>
      </c>
      <c r="K240" t="str">
        <f>IF(B18&gt;0,REPLACE(J240,17,4,B18),"")</f>
        <v/>
      </c>
    </row>
    <row r="241" spans="10:11" x14ac:dyDescent="0.25">
      <c r="J241" t="s">
        <v>1989</v>
      </c>
      <c r="K241" t="str">
        <f>REPLACE(IF(C2&gt;0,REPLACE(J241,61,8,C2),""),28,3,I2)</f>
        <v>&lt;em&gt;5.5.1.3. United States ABC Market Size and Forecast, by CC (2024-2032)&lt;/em&gt;</v>
      </c>
    </row>
    <row r="242" spans="10:11" x14ac:dyDescent="0.25">
      <c r="J242" t="s">
        <v>1990</v>
      </c>
      <c r="K242" t="str">
        <f>IF(C4&gt;0,REPLACE(J242,16,3,C4),"")</f>
        <v/>
      </c>
    </row>
    <row r="243" spans="10:11" x14ac:dyDescent="0.25">
      <c r="J243" t="s">
        <v>1991</v>
      </c>
      <c r="K243" t="str">
        <f>IF(C5&gt;0,REPLACE(J243,16,3,C5),"")</f>
        <v/>
      </c>
    </row>
    <row r="244" spans="10:11" x14ac:dyDescent="0.25">
      <c r="J244" t="s">
        <v>1992</v>
      </c>
      <c r="K244" t="str">
        <f>IF(C6&gt;0,REPLACE(J244,16,3,C6),"")</f>
        <v/>
      </c>
    </row>
    <row r="245" spans="10:11" x14ac:dyDescent="0.25">
      <c r="J245" t="s">
        <v>1993</v>
      </c>
      <c r="K245" t="str">
        <f>IF(C7&gt;0,REPLACE(J245,16,3,C7),"")</f>
        <v/>
      </c>
    </row>
    <row r="246" spans="10:11" x14ac:dyDescent="0.25">
      <c r="J246" t="s">
        <v>1994</v>
      </c>
      <c r="K246" t="str">
        <f>IF(C8&gt;0,REPLACE(J246,16,3,C8),"")</f>
        <v/>
      </c>
    </row>
    <row r="247" spans="10:11" x14ac:dyDescent="0.25">
      <c r="J247" t="s">
        <v>1995</v>
      </c>
      <c r="K247" t="str">
        <f>IF(C9&gt;0,REPLACE(J247,16,3,C9),"")</f>
        <v/>
      </c>
    </row>
    <row r="248" spans="10:11" x14ac:dyDescent="0.25">
      <c r="J248" t="s">
        <v>1996</v>
      </c>
      <c r="K248" t="str">
        <f>IF(C10&gt;0,REPLACE(J248,16,3,C10),"")</f>
        <v/>
      </c>
    </row>
    <row r="249" spans="10:11" x14ac:dyDescent="0.25">
      <c r="J249" t="s">
        <v>1997</v>
      </c>
      <c r="K249" t="str">
        <f>IF(C11&gt;0,REPLACE(J249,16,3,C11),"")</f>
        <v/>
      </c>
    </row>
    <row r="250" spans="10:11" x14ac:dyDescent="0.25">
      <c r="J250" t="s">
        <v>1998</v>
      </c>
      <c r="K250" t="str">
        <f>IF(C12&gt;0,REPLACE(J250,16,3,C12),"")</f>
        <v/>
      </c>
    </row>
    <row r="251" spans="10:11" x14ac:dyDescent="0.25">
      <c r="J251" t="s">
        <v>1999</v>
      </c>
      <c r="K251" t="str">
        <f>IF(C13&gt;0,REPLACE(J251,17,4,C13),"")</f>
        <v/>
      </c>
    </row>
    <row r="252" spans="10:11" x14ac:dyDescent="0.25">
      <c r="J252" t="s">
        <v>2000</v>
      </c>
      <c r="K252" t="str">
        <f>IF(C14&gt;0,REPLACE(J252,17,4,C14),"")</f>
        <v/>
      </c>
    </row>
    <row r="253" spans="10:11" x14ac:dyDescent="0.25">
      <c r="J253" t="s">
        <v>2001</v>
      </c>
      <c r="K253" t="str">
        <f>IF(C15&gt;0,REPLACE(J253,17,4,C15),"")</f>
        <v/>
      </c>
    </row>
    <row r="254" spans="10:11" x14ac:dyDescent="0.25">
      <c r="J254" t="s">
        <v>2002</v>
      </c>
      <c r="K254" t="str">
        <f>IF(C16&gt;0,REPLACE(J254,17,4,C16),"")</f>
        <v/>
      </c>
    </row>
    <row r="255" spans="10:11" x14ac:dyDescent="0.25">
      <c r="J255" t="s">
        <v>2003</v>
      </c>
      <c r="K255" t="str">
        <f>IF(C17&gt;0,REPLACE(J255,17,4,C17),"")</f>
        <v/>
      </c>
    </row>
    <row r="256" spans="10:11" x14ac:dyDescent="0.25">
      <c r="J256" t="s">
        <v>2004</v>
      </c>
      <c r="K256" t="str">
        <f>IF(C18&gt;0,REPLACE(J256,17,4,C18),"")</f>
        <v/>
      </c>
    </row>
    <row r="257" spans="10:11" x14ac:dyDescent="0.25">
      <c r="J257" t="s">
        <v>2005</v>
      </c>
      <c r="K257" t="str">
        <f>REPLACE(IF(D2&gt;0,REPLACE(J257,61,8,D2),""),28,3,I2)</f>
        <v>&lt;em&gt;5.5.1.4. United States ABC Market Size and Forecast, by DD (2024-2032)&lt;/em&gt;</v>
      </c>
    </row>
    <row r="258" spans="10:11" x14ac:dyDescent="0.25">
      <c r="J258" t="s">
        <v>2006</v>
      </c>
      <c r="K258" t="str">
        <f>IF(D4&gt;0,REPLACE(J258,16,3,D4),"")</f>
        <v/>
      </c>
    </row>
    <row r="259" spans="10:11" x14ac:dyDescent="0.25">
      <c r="J259" t="s">
        <v>2007</v>
      </c>
      <c r="K259" t="str">
        <f>IF(D5&gt;0,REPLACE(J259,16,3,D5),"")</f>
        <v/>
      </c>
    </row>
    <row r="260" spans="10:11" x14ac:dyDescent="0.25">
      <c r="J260" t="s">
        <v>2008</v>
      </c>
      <c r="K260" t="str">
        <f>IF(D6&gt;0,REPLACE(J260,16,3,D6),"")</f>
        <v/>
      </c>
    </row>
    <row r="261" spans="10:11" x14ac:dyDescent="0.25">
      <c r="J261" t="s">
        <v>2009</v>
      </c>
      <c r="K261" t="str">
        <f>IF(D7&gt;0,REPLACE(J261,16,3,D7),"")</f>
        <v/>
      </c>
    </row>
    <row r="262" spans="10:11" x14ac:dyDescent="0.25">
      <c r="J262" t="s">
        <v>2010</v>
      </c>
      <c r="K262" t="str">
        <f>IF(D8&gt;0,REPLACE(J262,16,3,D8),"")</f>
        <v/>
      </c>
    </row>
    <row r="263" spans="10:11" x14ac:dyDescent="0.25">
      <c r="J263" t="s">
        <v>2011</v>
      </c>
      <c r="K263" t="str">
        <f>IF(D9&gt;0,REPLACE(J263,16,3,D9),"")</f>
        <v/>
      </c>
    </row>
    <row r="264" spans="10:11" x14ac:dyDescent="0.25">
      <c r="J264" t="s">
        <v>2012</v>
      </c>
      <c r="K264" t="str">
        <f>IF(D10&gt;0,REPLACE(J264,16,3,D10),"")</f>
        <v/>
      </c>
    </row>
    <row r="265" spans="10:11" x14ac:dyDescent="0.25">
      <c r="J265" t="s">
        <v>2013</v>
      </c>
      <c r="K265" t="str">
        <f>IF(D11&gt;0,REPLACE(J265,16,3,D11),"")</f>
        <v/>
      </c>
    </row>
    <row r="266" spans="10:11" x14ac:dyDescent="0.25">
      <c r="J266" t="s">
        <v>2014</v>
      </c>
      <c r="K266" t="str">
        <f>IF(D12&gt;0,REPLACE(J266,16,3,D12),"")</f>
        <v/>
      </c>
    </row>
    <row r="267" spans="10:11" x14ac:dyDescent="0.25">
      <c r="J267" t="s">
        <v>2015</v>
      </c>
      <c r="K267" t="str">
        <f>IF(D13&gt;0,REPLACE(J267,17,4,D13),"")</f>
        <v/>
      </c>
    </row>
    <row r="268" spans="10:11" x14ac:dyDescent="0.25">
      <c r="J268" t="s">
        <v>2016</v>
      </c>
      <c r="K268" t="str">
        <f>IF(D14&gt;0,REPLACE(J268,17,4,D14),"")</f>
        <v/>
      </c>
    </row>
    <row r="269" spans="10:11" x14ac:dyDescent="0.25">
      <c r="J269" t="s">
        <v>2017</v>
      </c>
      <c r="K269" t="str">
        <f>IF(D15&gt;0,REPLACE(J269,17,4,D15),"")</f>
        <v/>
      </c>
    </row>
    <row r="270" spans="10:11" x14ac:dyDescent="0.25">
      <c r="J270" t="s">
        <v>2018</v>
      </c>
      <c r="K270" t="str">
        <f>IF(D16&gt;0,REPLACE(J270,17,4,D16),"")</f>
        <v/>
      </c>
    </row>
    <row r="271" spans="10:11" x14ac:dyDescent="0.25">
      <c r="J271" t="s">
        <v>2019</v>
      </c>
      <c r="K271" t="str">
        <f>IF(D17&gt;0,REPLACE(J271,17,4,D17),"")</f>
        <v/>
      </c>
    </row>
    <row r="272" spans="10:11" x14ac:dyDescent="0.25">
      <c r="J272" t="s">
        <v>2020</v>
      </c>
      <c r="K272" t="str">
        <f>IF(D18&gt;0,REPLACE(J272,17,4,D18),"")</f>
        <v/>
      </c>
    </row>
    <row r="273" spans="10:11" x14ac:dyDescent="0.25">
      <c r="J273" t="s">
        <v>2021</v>
      </c>
      <c r="K273" t="str">
        <f>J273</f>
        <v>&lt;strong&gt;&lt;em&gt;5.5.2. Canada&lt;/em&gt;&lt;/strong&gt;</v>
      </c>
    </row>
    <row r="274" spans="10:11" x14ac:dyDescent="0.25">
      <c r="J274" t="s">
        <v>2022</v>
      </c>
      <c r="K274" t="str">
        <f>REPLACE(IF(A2&gt;0,REPLACE(J274,54,8,A2),""),21,3,I2)</f>
        <v>&lt;em&gt;5.5.2.1. Canada ABC Market Size and Forecast, by AA (2024-2032)&lt;/em&gt;</v>
      </c>
    </row>
    <row r="275" spans="10:11" x14ac:dyDescent="0.25">
      <c r="J275" t="s">
        <v>2023</v>
      </c>
      <c r="K275" t="str">
        <f>IF(A4&gt;0,REPLACE(J275,16,3,A4),"")</f>
        <v/>
      </c>
    </row>
    <row r="276" spans="10:11" x14ac:dyDescent="0.25">
      <c r="J276" t="s">
        <v>2024</v>
      </c>
      <c r="K276" t="str">
        <f>IF(A5&gt;0,REPLACE(J276,16,3,A5),"")</f>
        <v/>
      </c>
    </row>
    <row r="277" spans="10:11" x14ac:dyDescent="0.25">
      <c r="J277" t="s">
        <v>2025</v>
      </c>
      <c r="K277" t="str">
        <f>IF(A6&gt;0,REPLACE(J277,16,3,A6),"")</f>
        <v/>
      </c>
    </row>
    <row r="278" spans="10:11" x14ac:dyDescent="0.25">
      <c r="J278" t="s">
        <v>2026</v>
      </c>
      <c r="K278" t="str">
        <f>IF(A7&gt;0,REPLACE(J278,16,3,A7),"")</f>
        <v/>
      </c>
    </row>
    <row r="279" spans="10:11" x14ac:dyDescent="0.25">
      <c r="J279" t="s">
        <v>2027</v>
      </c>
      <c r="K279" t="str">
        <f>IF(A8&gt;0,REPLACE(J279,16,3,A8),"")</f>
        <v/>
      </c>
    </row>
    <row r="280" spans="10:11" x14ac:dyDescent="0.25">
      <c r="J280" t="s">
        <v>2028</v>
      </c>
      <c r="K280" t="str">
        <f>IF(A9&gt;0,REPLACE(J280,16,3,A9),"")</f>
        <v/>
      </c>
    </row>
    <row r="281" spans="10:11" x14ac:dyDescent="0.25">
      <c r="J281" t="s">
        <v>2029</v>
      </c>
      <c r="K281" t="str">
        <f>IF(A10&gt;0,REPLACE(J281,16,3,A10),"")</f>
        <v/>
      </c>
    </row>
    <row r="282" spans="10:11" x14ac:dyDescent="0.25">
      <c r="J282" t="s">
        <v>2030</v>
      </c>
      <c r="K282" t="str">
        <f>IF(A11&gt;0,REPLACE(J282,16,3,A11),"")</f>
        <v/>
      </c>
    </row>
    <row r="283" spans="10:11" x14ac:dyDescent="0.25">
      <c r="J283" t="s">
        <v>2031</v>
      </c>
      <c r="K283" t="str">
        <f>IF(A12&gt;0,REPLACE(J283,16,3,A12),"")</f>
        <v/>
      </c>
    </row>
    <row r="284" spans="10:11" x14ac:dyDescent="0.25">
      <c r="J284" t="s">
        <v>2032</v>
      </c>
      <c r="K284" t="str">
        <f>IF(A13&gt;0,REPLACE(J284,17,4,A13),"")</f>
        <v/>
      </c>
    </row>
    <row r="285" spans="10:11" x14ac:dyDescent="0.25">
      <c r="J285" t="s">
        <v>2033</v>
      </c>
      <c r="K285" t="str">
        <f>IF(A14&gt;0,REPLACE(J285,17,4,A14),"")</f>
        <v/>
      </c>
    </row>
    <row r="286" spans="10:11" x14ac:dyDescent="0.25">
      <c r="J286" t="s">
        <v>2034</v>
      </c>
      <c r="K286" t="str">
        <f>IF(A15&gt;0,REPLACE(J286,17,4,A15),"")</f>
        <v/>
      </c>
    </row>
    <row r="287" spans="10:11" x14ac:dyDescent="0.25">
      <c r="J287" t="s">
        <v>2035</v>
      </c>
      <c r="K287" t="str">
        <f>IF(A16&gt;0,REPLACE(J287,17,4,A16),"")</f>
        <v/>
      </c>
    </row>
    <row r="288" spans="10:11" x14ac:dyDescent="0.25">
      <c r="J288" t="s">
        <v>2036</v>
      </c>
      <c r="K288" t="str">
        <f>IF(A17&gt;0,REPLACE(J288,17,4,A17),"")</f>
        <v/>
      </c>
    </row>
    <row r="289" spans="10:11" x14ac:dyDescent="0.25">
      <c r="J289" t="s">
        <v>2037</v>
      </c>
      <c r="K289" t="str">
        <f>IF(A18&gt;0,REPLACE(J289,17,4,A18),"")</f>
        <v/>
      </c>
    </row>
    <row r="290" spans="10:11" x14ac:dyDescent="0.25">
      <c r="J290" t="s">
        <v>2038</v>
      </c>
      <c r="K290" t="str">
        <f>REPLACE(IF(B2&gt;0,REPLACE(J290,54,8,B2),""),21,3,I2)</f>
        <v>&lt;em&gt;5.5.2.2. Canada ABC Market Size and Forecast, by BB (2024-2032)&lt;/em&gt;</v>
      </c>
    </row>
    <row r="291" spans="10:11" x14ac:dyDescent="0.25">
      <c r="J291" t="s">
        <v>2039</v>
      </c>
      <c r="K291" t="str">
        <f>IF(B4&gt;0,REPLACE(J291,16,3,B4),"")</f>
        <v/>
      </c>
    </row>
    <row r="292" spans="10:11" x14ac:dyDescent="0.25">
      <c r="J292" t="s">
        <v>2040</v>
      </c>
      <c r="K292" t="str">
        <f>IF(B5&gt;0,REPLACE(J292,16,3,B5),"")</f>
        <v/>
      </c>
    </row>
    <row r="293" spans="10:11" x14ac:dyDescent="0.25">
      <c r="J293" t="s">
        <v>2041</v>
      </c>
      <c r="K293" t="str">
        <f>IF(B6&gt;0,REPLACE(J293,16,3,B6),"")</f>
        <v/>
      </c>
    </row>
    <row r="294" spans="10:11" x14ac:dyDescent="0.25">
      <c r="J294" t="s">
        <v>2042</v>
      </c>
      <c r="K294" t="str">
        <f>IF(B7&gt;0,REPLACE(J294,16,3,B7),"")</f>
        <v/>
      </c>
    </row>
    <row r="295" spans="10:11" x14ac:dyDescent="0.25">
      <c r="J295" t="s">
        <v>2043</v>
      </c>
      <c r="K295" t="str">
        <f>IF(B8&gt;0,REPLACE(J295,16,3,B8),"")</f>
        <v/>
      </c>
    </row>
    <row r="296" spans="10:11" x14ac:dyDescent="0.25">
      <c r="J296" t="s">
        <v>2044</v>
      </c>
      <c r="K296" t="str">
        <f>IF(B9&gt;0,REPLACE(J296,16,3,B9),"")</f>
        <v/>
      </c>
    </row>
    <row r="297" spans="10:11" x14ac:dyDescent="0.25">
      <c r="J297" t="s">
        <v>2045</v>
      </c>
      <c r="K297" t="str">
        <f>IF(B10&gt;0,REPLACE(J297,16,3,B10),"")</f>
        <v/>
      </c>
    </row>
    <row r="298" spans="10:11" x14ac:dyDescent="0.25">
      <c r="J298" t="s">
        <v>2046</v>
      </c>
      <c r="K298" t="str">
        <f>IF(B11&gt;0,REPLACE(J298,16,3,B11),"")</f>
        <v/>
      </c>
    </row>
    <row r="299" spans="10:11" x14ac:dyDescent="0.25">
      <c r="J299" t="s">
        <v>2047</v>
      </c>
      <c r="K299" t="str">
        <f>IF(B12&gt;0,REPLACE(J299,16,3,B12),"")</f>
        <v/>
      </c>
    </row>
    <row r="300" spans="10:11" x14ac:dyDescent="0.25">
      <c r="J300" t="s">
        <v>2048</v>
      </c>
      <c r="K300" t="str">
        <f>IF(B13&gt;0,REPLACE(J300,17,4,B13),"")</f>
        <v/>
      </c>
    </row>
    <row r="301" spans="10:11" x14ac:dyDescent="0.25">
      <c r="J301" t="s">
        <v>2049</v>
      </c>
      <c r="K301" t="str">
        <f>IF(B14&gt;0,REPLACE(J301,17,4,B14),"")</f>
        <v/>
      </c>
    </row>
    <row r="302" spans="10:11" x14ac:dyDescent="0.25">
      <c r="J302" t="s">
        <v>2050</v>
      </c>
      <c r="K302" t="str">
        <f>IF(B15&gt;0,REPLACE(J302,17,4,B15),"")</f>
        <v/>
      </c>
    </row>
    <row r="303" spans="10:11" x14ac:dyDescent="0.25">
      <c r="J303" t="s">
        <v>2051</v>
      </c>
      <c r="K303" t="str">
        <f>IF(B16&gt;0,REPLACE(J303,17,4,B16),"")</f>
        <v/>
      </c>
    </row>
    <row r="304" spans="10:11" x14ac:dyDescent="0.25">
      <c r="J304" t="s">
        <v>2052</v>
      </c>
      <c r="K304" t="str">
        <f>IF(B17&gt;0,REPLACE(J304,17,4,B17),"")</f>
        <v/>
      </c>
    </row>
    <row r="305" spans="10:11" x14ac:dyDescent="0.25">
      <c r="J305" t="s">
        <v>2053</v>
      </c>
      <c r="K305" t="str">
        <f>IF(B18&gt;0,REPLACE(J305,17,4,B18),"")</f>
        <v/>
      </c>
    </row>
    <row r="306" spans="10:11" x14ac:dyDescent="0.25">
      <c r="J306" t="s">
        <v>2054</v>
      </c>
      <c r="K306" t="str">
        <f>REPLACE(IF(C2&gt;0,REPLACE(J306,54,8,C2),""),21,3,I2)</f>
        <v>&lt;em&gt;5.5.2.3. Canada ABC Market Size and Forecast, by CC (2024-2032)&lt;/em&gt;</v>
      </c>
    </row>
    <row r="307" spans="10:11" x14ac:dyDescent="0.25">
      <c r="J307" t="s">
        <v>2055</v>
      </c>
      <c r="K307" t="str">
        <f>IF(C4&gt;0,REPLACE(J307,16,3,C4),"")</f>
        <v/>
      </c>
    </row>
    <row r="308" spans="10:11" x14ac:dyDescent="0.25">
      <c r="J308" t="s">
        <v>2056</v>
      </c>
      <c r="K308" t="str">
        <f>IF(C5&gt;0,REPLACE(J308,16,3,C5),"")</f>
        <v/>
      </c>
    </row>
    <row r="309" spans="10:11" x14ac:dyDescent="0.25">
      <c r="J309" t="s">
        <v>2057</v>
      </c>
      <c r="K309" t="str">
        <f>IF(C6&gt;0,REPLACE(J309,16,3,C6),"")</f>
        <v/>
      </c>
    </row>
    <row r="310" spans="10:11" x14ac:dyDescent="0.25">
      <c r="J310" t="s">
        <v>2058</v>
      </c>
      <c r="K310" t="str">
        <f>IF(C7&gt;0,REPLACE(J310,16,3,C7),"")</f>
        <v/>
      </c>
    </row>
    <row r="311" spans="10:11" x14ac:dyDescent="0.25">
      <c r="J311" t="s">
        <v>2059</v>
      </c>
      <c r="K311" t="str">
        <f>IF(C8&gt;0,REPLACE(J311,16,3,C8),"")</f>
        <v/>
      </c>
    </row>
    <row r="312" spans="10:11" x14ac:dyDescent="0.25">
      <c r="J312" t="s">
        <v>2060</v>
      </c>
      <c r="K312" t="str">
        <f>IF(C9&gt;0,REPLACE(J312,16,3,C9),"")</f>
        <v/>
      </c>
    </row>
    <row r="313" spans="10:11" x14ac:dyDescent="0.25">
      <c r="J313" t="s">
        <v>2061</v>
      </c>
      <c r="K313" t="str">
        <f>IF(C10&gt;0,REPLACE(J313,16,3,C10),"")</f>
        <v/>
      </c>
    </row>
    <row r="314" spans="10:11" x14ac:dyDescent="0.25">
      <c r="J314" t="s">
        <v>2062</v>
      </c>
      <c r="K314" t="str">
        <f>IF(C11&gt;0,REPLACE(J314,16,3,C11),"")</f>
        <v/>
      </c>
    </row>
    <row r="315" spans="10:11" x14ac:dyDescent="0.25">
      <c r="J315" t="s">
        <v>2063</v>
      </c>
      <c r="K315" t="str">
        <f>IF(C12&gt;0,REPLACE(J315,16,3,C12),"")</f>
        <v/>
      </c>
    </row>
    <row r="316" spans="10:11" x14ac:dyDescent="0.25">
      <c r="J316" t="s">
        <v>2064</v>
      </c>
      <c r="K316" t="str">
        <f>IF(C13&gt;0,REPLACE(J316,17,4,C13),"")</f>
        <v/>
      </c>
    </row>
    <row r="317" spans="10:11" x14ac:dyDescent="0.25">
      <c r="J317" t="s">
        <v>2065</v>
      </c>
      <c r="K317" t="str">
        <f>IF(C14&gt;0,REPLACE(J317,17,4,C14),"")</f>
        <v/>
      </c>
    </row>
    <row r="318" spans="10:11" x14ac:dyDescent="0.25">
      <c r="J318" t="s">
        <v>2066</v>
      </c>
      <c r="K318" t="str">
        <f>IF(C15&gt;0,REPLACE(J318,17,4,C15),"")</f>
        <v/>
      </c>
    </row>
    <row r="319" spans="10:11" x14ac:dyDescent="0.25">
      <c r="J319" t="s">
        <v>2067</v>
      </c>
      <c r="K319" t="str">
        <f>IF(C16&gt;0,REPLACE(J319,17,4,C16),"")</f>
        <v/>
      </c>
    </row>
    <row r="320" spans="10:11" x14ac:dyDescent="0.25">
      <c r="J320" t="s">
        <v>2068</v>
      </c>
      <c r="K320" t="str">
        <f>IF(C17&gt;0,REPLACE(J320,17,4,C17),"")</f>
        <v/>
      </c>
    </row>
    <row r="321" spans="10:11" x14ac:dyDescent="0.25">
      <c r="J321" t="s">
        <v>2069</v>
      </c>
      <c r="K321" t="str">
        <f>IF(C18&gt;0,REPLACE(J321,17,4,C18),"")</f>
        <v/>
      </c>
    </row>
    <row r="322" spans="10:11" x14ac:dyDescent="0.25">
      <c r="J322" t="s">
        <v>2070</v>
      </c>
      <c r="K322" t="str">
        <f>REPLACE(IF(D2&gt;0,REPLACE(J322,54,8,D2),""),21,3,I2)</f>
        <v>&lt;em&gt;5.5.2.4. Canada ABC Market Size and Forecast, by DD (2024-2032)&lt;/em&gt;</v>
      </c>
    </row>
    <row r="323" spans="10:11" x14ac:dyDescent="0.25">
      <c r="J323" t="s">
        <v>2071</v>
      </c>
      <c r="K323" t="str">
        <f>IF(D4&gt;0,REPLACE(J323,16,3,D4),"")</f>
        <v/>
      </c>
    </row>
    <row r="324" spans="10:11" x14ac:dyDescent="0.25">
      <c r="J324" t="s">
        <v>2072</v>
      </c>
      <c r="K324" t="str">
        <f>IF(D5&gt;0,REPLACE(J324,16,3,D5),"")</f>
        <v/>
      </c>
    </row>
    <row r="325" spans="10:11" x14ac:dyDescent="0.25">
      <c r="J325" t="s">
        <v>2073</v>
      </c>
      <c r="K325" t="str">
        <f>IF(D6&gt;0,REPLACE(J325,16,3,D6),"")</f>
        <v/>
      </c>
    </row>
    <row r="326" spans="10:11" x14ac:dyDescent="0.25">
      <c r="J326" t="s">
        <v>2074</v>
      </c>
      <c r="K326" t="str">
        <f>IF(D7&gt;0,REPLACE(J326,16,3,D7),"")</f>
        <v/>
      </c>
    </row>
    <row r="327" spans="10:11" x14ac:dyDescent="0.25">
      <c r="J327" t="s">
        <v>2075</v>
      </c>
      <c r="K327" t="str">
        <f>IF(D8&gt;0,REPLACE(J327,16,3,D8),"")</f>
        <v/>
      </c>
    </row>
    <row r="328" spans="10:11" x14ac:dyDescent="0.25">
      <c r="J328" t="s">
        <v>2076</v>
      </c>
      <c r="K328" t="str">
        <f>IF(D9&gt;0,REPLACE(J328,16,3,D9),"")</f>
        <v/>
      </c>
    </row>
    <row r="329" spans="10:11" x14ac:dyDescent="0.25">
      <c r="J329" t="s">
        <v>2077</v>
      </c>
      <c r="K329" t="str">
        <f>IF(D10&gt;0,REPLACE(J329,16,3,D10),"")</f>
        <v/>
      </c>
    </row>
    <row r="330" spans="10:11" x14ac:dyDescent="0.25">
      <c r="J330" t="s">
        <v>2078</v>
      </c>
      <c r="K330" t="str">
        <f>IF(D11&gt;0,REPLACE(J330,16,3,D11),"")</f>
        <v/>
      </c>
    </row>
    <row r="331" spans="10:11" x14ac:dyDescent="0.25">
      <c r="J331" t="s">
        <v>2079</v>
      </c>
      <c r="K331" t="str">
        <f>IF(D12&gt;0,REPLACE(J331,16,3,D12),"")</f>
        <v/>
      </c>
    </row>
    <row r="332" spans="10:11" x14ac:dyDescent="0.25">
      <c r="J332" t="s">
        <v>2080</v>
      </c>
      <c r="K332" t="str">
        <f>IF(D13&gt;0,REPLACE(J332,17,4,D13),"")</f>
        <v/>
      </c>
    </row>
    <row r="333" spans="10:11" x14ac:dyDescent="0.25">
      <c r="J333" t="s">
        <v>2081</v>
      </c>
      <c r="K333" t="str">
        <f>IF(D14&gt;0,REPLACE(J333,17,4,D14),"")</f>
        <v/>
      </c>
    </row>
    <row r="334" spans="10:11" x14ac:dyDescent="0.25">
      <c r="J334" t="s">
        <v>2082</v>
      </c>
      <c r="K334" t="str">
        <f>IF(D15&gt;0,REPLACE(J334,17,4,D15),"")</f>
        <v/>
      </c>
    </row>
    <row r="335" spans="10:11" x14ac:dyDescent="0.25">
      <c r="J335" t="s">
        <v>2083</v>
      </c>
      <c r="K335" t="str">
        <f>IF(D16&gt;0,REPLACE(J335,17,4,D16),"")</f>
        <v/>
      </c>
    </row>
    <row r="336" spans="10:11" x14ac:dyDescent="0.25">
      <c r="J336" t="s">
        <v>2084</v>
      </c>
      <c r="K336" t="str">
        <f>IF(D17&gt;0,REPLACE(J336,17,4,D17),"")</f>
        <v/>
      </c>
    </row>
    <row r="337" spans="10:11" x14ac:dyDescent="0.25">
      <c r="J337" t="s">
        <v>2085</v>
      </c>
      <c r="K337" t="str">
        <f>IF(D18&gt;0,REPLACE(J337,17,4,D18),"")</f>
        <v/>
      </c>
    </row>
    <row r="338" spans="10:11" x14ac:dyDescent="0.25">
      <c r="J338" t="s">
        <v>2086</v>
      </c>
      <c r="K338" t="str">
        <f>J338</f>
        <v>&lt;strong&gt;&lt;em&gt;5.5.3. Mexico&lt;/em&gt;&lt;/strong&gt;</v>
      </c>
    </row>
    <row r="339" spans="10:11" x14ac:dyDescent="0.25">
      <c r="J339" t="s">
        <v>2087</v>
      </c>
      <c r="K339" t="str">
        <f>REPLACE(IF(A2&gt;0,REPLACE(J339,54,8,A2),""),21,3,I2)</f>
        <v>&lt;em&gt;5.5.3.1. Mexico ABC Market Size and Forecast, by AA (2024-2032)&lt;/em&gt;</v>
      </c>
    </row>
    <row r="340" spans="10:11" x14ac:dyDescent="0.25">
      <c r="J340" t="s">
        <v>2088</v>
      </c>
      <c r="K340" t="str">
        <f>IF(A4&gt;0,REPLACE(J340,16,3,A4),"")</f>
        <v/>
      </c>
    </row>
    <row r="341" spans="10:11" x14ac:dyDescent="0.25">
      <c r="J341" t="s">
        <v>2089</v>
      </c>
      <c r="K341" t="str">
        <f>IF(A5&gt;0,REPLACE(J341,16,3,A5),"")</f>
        <v/>
      </c>
    </row>
    <row r="342" spans="10:11" x14ac:dyDescent="0.25">
      <c r="J342" t="s">
        <v>2090</v>
      </c>
      <c r="K342" t="str">
        <f>IF(A6&gt;0,REPLACE(J342,16,3,A6),"")</f>
        <v/>
      </c>
    </row>
    <row r="343" spans="10:11" x14ac:dyDescent="0.25">
      <c r="J343" t="s">
        <v>2091</v>
      </c>
      <c r="K343" t="str">
        <f>IF(A7&gt;0,REPLACE(J343,16,3,A7),"")</f>
        <v/>
      </c>
    </row>
    <row r="344" spans="10:11" x14ac:dyDescent="0.25">
      <c r="J344" t="s">
        <v>2092</v>
      </c>
      <c r="K344" t="str">
        <f>IF(A8&gt;0,REPLACE(J344,16,3,A8),"")</f>
        <v/>
      </c>
    </row>
    <row r="345" spans="10:11" x14ac:dyDescent="0.25">
      <c r="J345" t="s">
        <v>2093</v>
      </c>
      <c r="K345" t="str">
        <f>IF(A9&gt;0,REPLACE(J345,16,3,A9),"")</f>
        <v/>
      </c>
    </row>
    <row r="346" spans="10:11" x14ac:dyDescent="0.25">
      <c r="J346" t="s">
        <v>2094</v>
      </c>
      <c r="K346" t="str">
        <f>IF(A10&gt;0,REPLACE(J346,16,3,A10),"")</f>
        <v/>
      </c>
    </row>
    <row r="347" spans="10:11" x14ac:dyDescent="0.25">
      <c r="J347" t="s">
        <v>2095</v>
      </c>
      <c r="K347" t="str">
        <f>IF(A11&gt;0,REPLACE(J347,16,3,A11),"")</f>
        <v/>
      </c>
    </row>
    <row r="348" spans="10:11" x14ac:dyDescent="0.25">
      <c r="J348" t="s">
        <v>2096</v>
      </c>
      <c r="K348" t="str">
        <f>IF(A12&gt;0,REPLACE(J348,16,3,A12),"")</f>
        <v/>
      </c>
    </row>
    <row r="349" spans="10:11" x14ac:dyDescent="0.25">
      <c r="J349" t="s">
        <v>2097</v>
      </c>
      <c r="K349" t="str">
        <f>IF(A13&gt;0,REPLACE(J349,17,4,A13),"")</f>
        <v/>
      </c>
    </row>
    <row r="350" spans="10:11" x14ac:dyDescent="0.25">
      <c r="J350" t="s">
        <v>2098</v>
      </c>
      <c r="K350" t="str">
        <f>IF(A14&gt;0,REPLACE(J350,17,4,A14),"")</f>
        <v/>
      </c>
    </row>
    <row r="351" spans="10:11" x14ac:dyDescent="0.25">
      <c r="J351" t="s">
        <v>2099</v>
      </c>
      <c r="K351" t="str">
        <f>IF(A15&gt;0,REPLACE(J351,17,4,A15),"")</f>
        <v/>
      </c>
    </row>
    <row r="352" spans="10:11" x14ac:dyDescent="0.25">
      <c r="J352" t="s">
        <v>2100</v>
      </c>
      <c r="K352" t="str">
        <f>IF(A16&gt;0,REPLACE(J352,17,4,A16),"")</f>
        <v/>
      </c>
    </row>
    <row r="353" spans="10:11" x14ac:dyDescent="0.25">
      <c r="J353" t="s">
        <v>2101</v>
      </c>
      <c r="K353" t="str">
        <f>IF(A17&gt;0,REPLACE(J353,17,4,A17),"")</f>
        <v/>
      </c>
    </row>
    <row r="354" spans="10:11" x14ac:dyDescent="0.25">
      <c r="J354" t="s">
        <v>2102</v>
      </c>
      <c r="K354" t="str">
        <f>IF(A18&gt;0,REPLACE(J354,17,4,A18),"")</f>
        <v/>
      </c>
    </row>
    <row r="355" spans="10:11" x14ac:dyDescent="0.25">
      <c r="J355" t="s">
        <v>2103</v>
      </c>
      <c r="K355" t="str">
        <f>REPLACE(IF(B2&gt;0,REPLACE(J355,54,8,B2),""),21,3,I2)</f>
        <v>&lt;em&gt;5.5.3.2. Mexico ABC Market Size and Forecast, by BB (2024-2032)&lt;/em&gt;</v>
      </c>
    </row>
    <row r="356" spans="10:11" x14ac:dyDescent="0.25">
      <c r="J356" t="s">
        <v>2104</v>
      </c>
      <c r="K356" t="str">
        <f>IF(B4&gt;0,REPLACE(J356,16,3,B4),"")</f>
        <v/>
      </c>
    </row>
    <row r="357" spans="10:11" x14ac:dyDescent="0.25">
      <c r="J357" t="s">
        <v>2105</v>
      </c>
      <c r="K357" t="str">
        <f>IF(B5&gt;0,REPLACE(J357,16,3,B5),"")</f>
        <v/>
      </c>
    </row>
    <row r="358" spans="10:11" x14ac:dyDescent="0.25">
      <c r="J358" t="s">
        <v>2106</v>
      </c>
      <c r="K358" t="str">
        <f>IF(B6&gt;0,REPLACE(J358,16,3,B6),"")</f>
        <v/>
      </c>
    </row>
    <row r="359" spans="10:11" x14ac:dyDescent="0.25">
      <c r="J359" t="s">
        <v>2107</v>
      </c>
      <c r="K359" t="str">
        <f>IF(B7&gt;0,REPLACE(J359,16,3,B7),"")</f>
        <v/>
      </c>
    </row>
    <row r="360" spans="10:11" x14ac:dyDescent="0.25">
      <c r="J360" t="s">
        <v>2108</v>
      </c>
      <c r="K360" t="str">
        <f>IF(B8&gt;0,REPLACE(J360,16,3,B8),"")</f>
        <v/>
      </c>
    </row>
    <row r="361" spans="10:11" x14ac:dyDescent="0.25">
      <c r="J361" t="s">
        <v>2109</v>
      </c>
      <c r="K361" t="str">
        <f>IF(B9&gt;0,REPLACE(J361,16,3,B9),"")</f>
        <v/>
      </c>
    </row>
    <row r="362" spans="10:11" x14ac:dyDescent="0.25">
      <c r="J362" t="s">
        <v>2110</v>
      </c>
      <c r="K362" t="str">
        <f>IF(B10&gt;0,REPLACE(J362,16,3,B10),"")</f>
        <v/>
      </c>
    </row>
    <row r="363" spans="10:11" x14ac:dyDescent="0.25">
      <c r="J363" t="s">
        <v>2111</v>
      </c>
      <c r="K363" t="str">
        <f>IF(B11&gt;0,REPLACE(J363,16,3,B11),"")</f>
        <v/>
      </c>
    </row>
    <row r="364" spans="10:11" x14ac:dyDescent="0.25">
      <c r="J364" t="s">
        <v>2112</v>
      </c>
      <c r="K364" t="str">
        <f>IF(B12&gt;0,REPLACE(J364,16,3,B12),"")</f>
        <v/>
      </c>
    </row>
    <row r="365" spans="10:11" x14ac:dyDescent="0.25">
      <c r="J365" t="s">
        <v>2113</v>
      </c>
      <c r="K365" t="str">
        <f>IF(B13&gt;0,REPLACE(J365,17,4,B13),"")</f>
        <v/>
      </c>
    </row>
    <row r="366" spans="10:11" x14ac:dyDescent="0.25">
      <c r="J366" t="s">
        <v>2114</v>
      </c>
      <c r="K366" t="str">
        <f>IF(B14&gt;0,REPLACE(J366,17,4,B14),"")</f>
        <v/>
      </c>
    </row>
    <row r="367" spans="10:11" x14ac:dyDescent="0.25">
      <c r="J367" t="s">
        <v>2115</v>
      </c>
      <c r="K367" t="str">
        <f>IF(B15&gt;0,REPLACE(J367,17,4,B15),"")</f>
        <v/>
      </c>
    </row>
    <row r="368" spans="10:11" x14ac:dyDescent="0.25">
      <c r="J368" t="s">
        <v>2116</v>
      </c>
      <c r="K368" t="str">
        <f>IF(B16&gt;0,REPLACE(J368,17,4,B16),"")</f>
        <v/>
      </c>
    </row>
    <row r="369" spans="10:11" x14ac:dyDescent="0.25">
      <c r="J369" t="s">
        <v>2117</v>
      </c>
      <c r="K369" t="str">
        <f>IF(B17&gt;0,REPLACE(J369,17,4,B17),"")</f>
        <v/>
      </c>
    </row>
    <row r="370" spans="10:11" x14ac:dyDescent="0.25">
      <c r="J370" t="s">
        <v>2118</v>
      </c>
      <c r="K370" t="str">
        <f>IF(B18&gt;0,REPLACE(J370,17,4,B18),"")</f>
        <v/>
      </c>
    </row>
    <row r="371" spans="10:11" x14ac:dyDescent="0.25">
      <c r="J371" t="s">
        <v>2119</v>
      </c>
      <c r="K371" t="str">
        <f>REPLACE(IF(C2&gt;0,REPLACE(J371,54,8,C2),""),21,3,I2)</f>
        <v>&lt;em&gt;5.5.3.3. Mexico ABC Market Size and Forecast, by CC (2024-2032)&lt;/em&gt;</v>
      </c>
    </row>
    <row r="372" spans="10:11" x14ac:dyDescent="0.25">
      <c r="J372" t="s">
        <v>2120</v>
      </c>
      <c r="K372" t="str">
        <f>IF(C4&gt;0,REPLACE(J372,16,3,C4),"")</f>
        <v/>
      </c>
    </row>
    <row r="373" spans="10:11" x14ac:dyDescent="0.25">
      <c r="J373" t="s">
        <v>2121</v>
      </c>
      <c r="K373" t="str">
        <f>IF(C5&gt;0,REPLACE(J373,16,3,C5),"")</f>
        <v/>
      </c>
    </row>
    <row r="374" spans="10:11" x14ac:dyDescent="0.25">
      <c r="J374" t="s">
        <v>2122</v>
      </c>
      <c r="K374" t="str">
        <f>IF(C6&gt;0,REPLACE(J374,16,3,C6),"")</f>
        <v/>
      </c>
    </row>
    <row r="375" spans="10:11" x14ac:dyDescent="0.25">
      <c r="J375" t="s">
        <v>2123</v>
      </c>
      <c r="K375" t="str">
        <f>IF(C7&gt;0,REPLACE(J375,16,3,C7),"")</f>
        <v/>
      </c>
    </row>
    <row r="376" spans="10:11" x14ac:dyDescent="0.25">
      <c r="J376" t="s">
        <v>2124</v>
      </c>
      <c r="K376" t="str">
        <f>IF(C8&gt;0,REPLACE(J376,16,3,C8),"")</f>
        <v/>
      </c>
    </row>
    <row r="377" spans="10:11" x14ac:dyDescent="0.25">
      <c r="J377" t="s">
        <v>2125</v>
      </c>
      <c r="K377" t="str">
        <f>IF(C9&gt;0,REPLACE(J377,16,3,C9),"")</f>
        <v/>
      </c>
    </row>
    <row r="378" spans="10:11" x14ac:dyDescent="0.25">
      <c r="J378" t="s">
        <v>2126</v>
      </c>
      <c r="K378" t="str">
        <f>IF(C10&gt;0,REPLACE(J378,16,3,C10),"")</f>
        <v/>
      </c>
    </row>
    <row r="379" spans="10:11" x14ac:dyDescent="0.25">
      <c r="J379" t="s">
        <v>2127</v>
      </c>
      <c r="K379" t="str">
        <f>IF(C11&gt;0,REPLACE(J379,16,3,C11),"")</f>
        <v/>
      </c>
    </row>
    <row r="380" spans="10:11" x14ac:dyDescent="0.25">
      <c r="J380" t="s">
        <v>2128</v>
      </c>
      <c r="K380" t="str">
        <f>IF(C12&gt;0,REPLACE(J380,16,3,C12),"")</f>
        <v/>
      </c>
    </row>
    <row r="381" spans="10:11" x14ac:dyDescent="0.25">
      <c r="J381" t="s">
        <v>2129</v>
      </c>
      <c r="K381" t="str">
        <f>IF(C13&gt;0,REPLACE(J381,17,4,C13),"")</f>
        <v/>
      </c>
    </row>
    <row r="382" spans="10:11" x14ac:dyDescent="0.25">
      <c r="J382" t="s">
        <v>2130</v>
      </c>
      <c r="K382" t="str">
        <f>IF(C14&gt;0,REPLACE(J382,17,4,C14),"")</f>
        <v/>
      </c>
    </row>
    <row r="383" spans="10:11" x14ac:dyDescent="0.25">
      <c r="J383" t="s">
        <v>2131</v>
      </c>
      <c r="K383" t="str">
        <f>IF(C15&gt;0,REPLACE(J383,17,4,C15),"")</f>
        <v/>
      </c>
    </row>
    <row r="384" spans="10:11" x14ac:dyDescent="0.25">
      <c r="J384" t="s">
        <v>2132</v>
      </c>
      <c r="K384" t="str">
        <f>IF(C16&gt;0,REPLACE(J384,17,4,C16),"")</f>
        <v/>
      </c>
    </row>
    <row r="385" spans="10:11" x14ac:dyDescent="0.25">
      <c r="J385" t="s">
        <v>2133</v>
      </c>
      <c r="K385" t="str">
        <f>IF(C17&gt;0,REPLACE(J385,17,4,C17),"")</f>
        <v/>
      </c>
    </row>
    <row r="386" spans="10:11" x14ac:dyDescent="0.25">
      <c r="J386" t="s">
        <v>2134</v>
      </c>
      <c r="K386" t="str">
        <f>IF(C18&gt;0,REPLACE(J386,17,4,C18),"")</f>
        <v/>
      </c>
    </row>
    <row r="387" spans="10:11" x14ac:dyDescent="0.25">
      <c r="J387" t="s">
        <v>2135</v>
      </c>
      <c r="K387" t="str">
        <f>REPLACE(IF(D2&gt;0,REPLACE(J387,54,8,D2),""),21,3,I2)</f>
        <v>&lt;em&gt;5.5.3.4. Mexico ABC Market Size and Forecast, by DD (2024-2032)&lt;/em&gt;</v>
      </c>
    </row>
    <row r="388" spans="10:11" x14ac:dyDescent="0.25">
      <c r="J388" t="s">
        <v>2136</v>
      </c>
      <c r="K388" t="str">
        <f>IF(D4&gt;0,REPLACE(J388,16,3,D4),"")</f>
        <v/>
      </c>
    </row>
    <row r="389" spans="10:11" x14ac:dyDescent="0.25">
      <c r="J389" t="s">
        <v>2137</v>
      </c>
      <c r="K389" t="str">
        <f>IF(D5&gt;0,REPLACE(J389,16,3,D5),"")</f>
        <v/>
      </c>
    </row>
    <row r="390" spans="10:11" x14ac:dyDescent="0.25">
      <c r="J390" t="s">
        <v>2138</v>
      </c>
      <c r="K390" t="str">
        <f>IF(D6&gt;0,REPLACE(J390,16,3,D6),"")</f>
        <v/>
      </c>
    </row>
    <row r="391" spans="10:11" x14ac:dyDescent="0.25">
      <c r="J391" t="s">
        <v>2139</v>
      </c>
      <c r="K391" t="str">
        <f>IF(D7&gt;0,REPLACE(J391,16,3,D7),"")</f>
        <v/>
      </c>
    </row>
    <row r="392" spans="10:11" x14ac:dyDescent="0.25">
      <c r="J392" t="s">
        <v>2140</v>
      </c>
      <c r="K392" t="str">
        <f>IF(D8&gt;0,REPLACE(J392,16,3,D8),"")</f>
        <v/>
      </c>
    </row>
    <row r="393" spans="10:11" x14ac:dyDescent="0.25">
      <c r="J393" t="s">
        <v>2141</v>
      </c>
      <c r="K393" t="str">
        <f>IF(D9&gt;0,REPLACE(J393,16,3,D9),"")</f>
        <v/>
      </c>
    </row>
    <row r="394" spans="10:11" x14ac:dyDescent="0.25">
      <c r="J394" t="s">
        <v>2142</v>
      </c>
      <c r="K394" t="str">
        <f>IF(D10&gt;0,REPLACE(J394,16,3,D10),"")</f>
        <v/>
      </c>
    </row>
    <row r="395" spans="10:11" x14ac:dyDescent="0.25">
      <c r="J395" t="s">
        <v>2143</v>
      </c>
      <c r="K395" t="str">
        <f>IF(D11&gt;0,REPLACE(J395,16,3,D11),"")</f>
        <v/>
      </c>
    </row>
    <row r="396" spans="10:11" x14ac:dyDescent="0.25">
      <c r="J396" t="s">
        <v>2144</v>
      </c>
      <c r="K396" t="str">
        <f>IF(D12&gt;0,REPLACE(J396,16,3,D12),"")</f>
        <v/>
      </c>
    </row>
    <row r="397" spans="10:11" x14ac:dyDescent="0.25">
      <c r="J397" t="s">
        <v>2145</v>
      </c>
      <c r="K397" t="str">
        <f>IF(D13&gt;0,REPLACE(J397,17,4,D13),"")</f>
        <v/>
      </c>
    </row>
    <row r="398" spans="10:11" x14ac:dyDescent="0.25">
      <c r="J398" t="s">
        <v>2146</v>
      </c>
      <c r="K398" t="str">
        <f>IF(D14&gt;0,REPLACE(J398,17,4,D14),"")</f>
        <v/>
      </c>
    </row>
    <row r="399" spans="10:11" x14ac:dyDescent="0.25">
      <c r="J399" t="s">
        <v>2147</v>
      </c>
      <c r="K399" t="str">
        <f>IF(D15&gt;0,REPLACE(J399,17,4,D15),"")</f>
        <v/>
      </c>
    </row>
    <row r="400" spans="10:11" x14ac:dyDescent="0.25">
      <c r="J400" t="s">
        <v>2148</v>
      </c>
      <c r="K400" t="str">
        <f>IF(D16&gt;0,REPLACE(J400,17,4,D16),"")</f>
        <v/>
      </c>
    </row>
    <row r="401" spans="10:11" x14ac:dyDescent="0.25">
      <c r="J401" t="s">
        <v>2149</v>
      </c>
      <c r="K401" t="str">
        <f>IF(D17&gt;0,REPLACE(J401,17,4,D17),"")</f>
        <v/>
      </c>
    </row>
    <row r="402" spans="10:11" x14ac:dyDescent="0.25">
      <c r="J402" t="s">
        <v>2150</v>
      </c>
      <c r="K402" t="str">
        <f>IF(D18&gt;0,REPLACE(J402,17,4,D18),"")</f>
        <v/>
      </c>
    </row>
    <row r="404" spans="10:11" x14ac:dyDescent="0.25">
      <c r="J404" t="s">
        <v>857</v>
      </c>
      <c r="K404" t="str">
        <f>REPLACE(J404,FIND("ABC",J404,1),3,$I$2)</f>
        <v>&lt;strong&gt;6. Europe ABC Market Size and Forecast by Segmentation (by Value in USD Million) 2024-2032&lt;/strong&gt;</v>
      </c>
    </row>
    <row r="405" spans="10:11" x14ac:dyDescent="0.25">
      <c r="J405" t="s">
        <v>858</v>
      </c>
      <c r="K405" t="str">
        <f>REPLACE((IF(A2&gt;0,REPLACE(J405,46,8,A2),"")),13,3,I2)</f>
        <v>6.1. Europe ABC Market Size and Forecast, by AA (2024-2032)</v>
      </c>
    </row>
    <row r="406" spans="10:11" x14ac:dyDescent="0.25">
      <c r="J406" t="s">
        <v>859</v>
      </c>
      <c r="K406" t="str">
        <f>REPLACE((IF(B2&gt;0,REPLACE(J406,46,8,B2),"")),13,3,I2)</f>
        <v>6.2. Europe ABC Market Size and Forecast, by BB (2024-2032)</v>
      </c>
    </row>
    <row r="407" spans="10:11" x14ac:dyDescent="0.25">
      <c r="J407" t="s">
        <v>860</v>
      </c>
      <c r="K407" t="str">
        <f>REPLACE((IF(C2&gt;0,REPLACE(J407,46,8,C2),"")),13,3,I2)</f>
        <v>6.3. Europe ABC Market Size and Forecast, by CC (2024-2032)</v>
      </c>
    </row>
    <row r="408" spans="10:11" x14ac:dyDescent="0.25">
      <c r="J408" t="s">
        <v>861</v>
      </c>
      <c r="K408" t="str">
        <f>REPLACE((IF(D2&gt;0,REPLACE(J408,46,8,D2),"")),13,3,I2)</f>
        <v>6.4. Europe ABC Market Size and Forecast, by DD (2024-2032)</v>
      </c>
    </row>
    <row r="409" spans="10:11" x14ac:dyDescent="0.25">
      <c r="J409" t="s">
        <v>2151</v>
      </c>
      <c r="K409" t="str">
        <f>REPLACE(J409,FIND("ABC",J409,1),3,$I$2)</f>
        <v>6.5. Europe ABC Market Size and Forecast, by Country (2024-2032)</v>
      </c>
    </row>
    <row r="410" spans="10:11" x14ac:dyDescent="0.25">
      <c r="J410" t="s">
        <v>2152</v>
      </c>
      <c r="K410" t="str">
        <f>J410</f>
        <v>&lt;strong&gt;&lt;em&gt;6.5.1. United Kingdom&lt;/em&gt;&lt;/strong&gt;</v>
      </c>
    </row>
    <row r="411" spans="10:11" x14ac:dyDescent="0.25">
      <c r="J411" t="s">
        <v>2153</v>
      </c>
      <c r="K411" t="str">
        <f>REPLACE(IF(A2&gt;0,REPLACE(J411,62,8,A2),""),FIND("ABC",J411,1),3,$I$2)</f>
        <v>&lt;em&gt;6.5.1.1. United Kingdom ABC Market Size and Forecast, by AA (2024-2032)&lt;/em&gt;</v>
      </c>
    </row>
    <row r="412" spans="10:11" x14ac:dyDescent="0.25">
      <c r="J412" t="s">
        <v>2154</v>
      </c>
      <c r="K412" t="str">
        <f>REPLACE(IF(B2&gt;0,REPLACE(J412,62,8,B2),""),FIND("ABC",J412,1),3,$I$2)</f>
        <v>&lt;em&gt;6.5.1.2. United Kingdom ABC Market Size and Forecast, by BB (2024-2032)&lt;/em&gt;</v>
      </c>
    </row>
    <row r="413" spans="10:11" x14ac:dyDescent="0.25">
      <c r="J413" t="s">
        <v>2155</v>
      </c>
      <c r="K413" t="str">
        <f>REPLACE(IF(C2&gt;0,REPLACE(J413,62,8,C2),""),FIND("ABC",J413,1),3,$I$2)</f>
        <v>&lt;em&gt;6.5.1.3. United Kingdom ABC Market Size and Forecast, by CC (2024-2032)&lt;/em&gt;</v>
      </c>
    </row>
    <row r="414" spans="10:11" x14ac:dyDescent="0.25">
      <c r="J414" t="s">
        <v>2156</v>
      </c>
      <c r="K414" t="str">
        <f>REPLACE(IF(D2&gt;0,REPLACE(J414,62,8,D2),""),FIND("ABC",J414,1),3,$I$2)</f>
        <v>&lt;em&gt;6.5.1.4. United Kingdom ABC Market Size and Forecast, by DD (2024-2032)&lt;/em&gt;</v>
      </c>
    </row>
    <row r="415" spans="10:11" x14ac:dyDescent="0.25">
      <c r="J415" t="s">
        <v>2157</v>
      </c>
      <c r="K415" t="str">
        <f>J415</f>
        <v>&lt;strong&gt;&lt;em&gt;6.5.2. France&lt;/em&gt;&lt;/strong&gt;</v>
      </c>
    </row>
    <row r="416" spans="10:11" x14ac:dyDescent="0.25">
      <c r="J416" t="s">
        <v>2158</v>
      </c>
      <c r="K416" t="str">
        <f>REPLACE(IF(A2&gt;0,REPLACE(J416,54,8,A2),""),FIND("ABC",J416,1),3,$I$2)</f>
        <v>&lt;em&gt;6.5.2.1. France ABC Market Size and Forecast, by AA (2024-2032)&lt;/em&gt;</v>
      </c>
    </row>
    <row r="417" spans="10:11" x14ac:dyDescent="0.25">
      <c r="J417" t="s">
        <v>2159</v>
      </c>
      <c r="K417" t="str">
        <f>REPLACE(IF(B2&gt;0,REPLACE(J417,54,8,B2),""),FIND("ABC",J417,1),3,$I$2)</f>
        <v>&lt;em&gt;6.5.2.2. France ABC Market Size and Forecast, by BB (2024-2032)&lt;/em&gt;</v>
      </c>
    </row>
    <row r="418" spans="10:11" x14ac:dyDescent="0.25">
      <c r="J418" t="s">
        <v>2160</v>
      </c>
      <c r="K418" t="str">
        <f>REPLACE(IF(C2&gt;0,REPLACE(J418,54,8,C2),""),FIND("ABC",J418,1),3,$I$2)</f>
        <v>&lt;em&gt;6.5.2.3. France ABC Market Size and Forecast, by CC (2024-2032)&lt;/em&gt;</v>
      </c>
    </row>
    <row r="419" spans="10:11" x14ac:dyDescent="0.25">
      <c r="J419" t="s">
        <v>2161</v>
      </c>
      <c r="K419" t="str">
        <f>REPLACE(IF(D2&gt;0,REPLACE(J419,54,8,D2),""),FIND("ABC",J419,1),3,$I$2)</f>
        <v>&lt;em&gt;6.5.2.4. France ABC Market Size and Forecast, by DD (2024-2032)&lt;/em&gt;</v>
      </c>
    </row>
    <row r="420" spans="10:11" x14ac:dyDescent="0.25">
      <c r="J420" t="s">
        <v>2162</v>
      </c>
      <c r="K420" t="str">
        <f>J420</f>
        <v>&lt;strong&gt;&lt;em&gt;6.5.3. Germany&lt;/em&gt;&lt;/strong&gt;</v>
      </c>
    </row>
    <row r="421" spans="10:11" x14ac:dyDescent="0.25">
      <c r="J421" t="s">
        <v>2163</v>
      </c>
      <c r="K421" t="str">
        <f>REPLACE(IF(A2&gt;0,REPLACE(J421,55,8,A2),""),FIND("ABC",J421,1),3,$I$2)</f>
        <v>&lt;em&gt;6.5.3.1. Germany ABC Market Size and Forecast, by AA (2024-2032)&lt;/em&gt;</v>
      </c>
    </row>
    <row r="422" spans="10:11" x14ac:dyDescent="0.25">
      <c r="J422" t="s">
        <v>2164</v>
      </c>
      <c r="K422" t="str">
        <f>REPLACE(IF(B2&gt;0,REPLACE(J422,55,8,B2),""),FIND("ABC",J422,1),3,$I$2)</f>
        <v>&lt;em&gt;6.5.3.2. Germany ABC Market Size and Forecast, by BB (2024-2032)&lt;/em&gt;</v>
      </c>
    </row>
    <row r="423" spans="10:11" x14ac:dyDescent="0.25">
      <c r="J423" t="s">
        <v>2165</v>
      </c>
      <c r="K423" t="str">
        <f>REPLACE(IF(C2&gt;0,REPLACE(J423,55,8,C2),""),FIND("ABC",J423,1),3,$I$2)</f>
        <v>&lt;em&gt;6.5.3.3. Germany ABC Market Size and Forecast, by CC (2024-2032)&lt;/em&gt;</v>
      </c>
    </row>
    <row r="424" spans="10:11" x14ac:dyDescent="0.25">
      <c r="J424" t="s">
        <v>2166</v>
      </c>
      <c r="K424" t="str">
        <f>REPLACE(IF(D2&gt;0,REPLACE(J424,55,8,D2),""),FIND("ABC",J424,1),3,$I$2)</f>
        <v>&lt;em&gt;6.5.3.4. Germany ABC Market Size and Forecast, by DD (2024-2032)&lt;/em&gt;</v>
      </c>
    </row>
    <row r="425" spans="10:11" x14ac:dyDescent="0.25">
      <c r="J425" t="s">
        <v>2167</v>
      </c>
      <c r="K425" t="str">
        <f>J425</f>
        <v>&lt;strong&gt;&lt;em&gt;6.5.4. Italy&lt;/em&gt;&lt;/strong&gt;</v>
      </c>
    </row>
    <row r="426" spans="10:11" x14ac:dyDescent="0.25">
      <c r="J426" t="s">
        <v>2168</v>
      </c>
      <c r="K426" t="str">
        <f>REPLACE(IF(A2&gt;0,REPLACE(J426,53,8,A2),""),FIND("ABC",J426,1),3,$I$2)</f>
        <v>&lt;em&gt;6.5.4.1. Italy ABC Market Size and Forecast, by AA (2024-2032)&lt;/em&gt;</v>
      </c>
    </row>
    <row r="427" spans="10:11" x14ac:dyDescent="0.25">
      <c r="J427" t="s">
        <v>2169</v>
      </c>
      <c r="K427" t="str">
        <f>REPLACE(IF(B2&gt;0,REPLACE(J427,53,8,B2),""),FIND("ABC",J427,1),3,$I$2)</f>
        <v>&lt;em&gt;6.5.4.2. Italy ABC Market Size and Forecast, by BB (2024-2032)&lt;/em&gt;</v>
      </c>
    </row>
    <row r="428" spans="10:11" x14ac:dyDescent="0.25">
      <c r="J428" t="s">
        <v>2170</v>
      </c>
      <c r="K428" t="str">
        <f>REPLACE(IF(C2&gt;0,REPLACE(J428,53,8,C2),""),FIND("ABC",J428,1),3,$I$2)</f>
        <v>&lt;em&gt;6.5.4.3. Italy ABC Market Size and Forecast, by CC (2024-2032)&lt;/em&gt;</v>
      </c>
    </row>
    <row r="429" spans="10:11" x14ac:dyDescent="0.25">
      <c r="J429" t="s">
        <v>2171</v>
      </c>
      <c r="K429" t="str">
        <f>REPLACE(IF(D2&gt;0,REPLACE(J429,53,8,D2),""),FIND("ABC",J429,1),3,$I$2)</f>
        <v>&lt;em&gt;6.5.4.4. Italy ABC Market Size and Forecast, by DD (2024-2032)&lt;/em&gt;</v>
      </c>
    </row>
    <row r="430" spans="10:11" x14ac:dyDescent="0.25">
      <c r="J430" t="s">
        <v>2172</v>
      </c>
      <c r="K430" t="str">
        <f>J430</f>
        <v>&lt;strong&gt;&lt;em&gt;6.5.5. Spain&lt;/em&gt;&lt;/strong&gt;</v>
      </c>
    </row>
    <row r="431" spans="10:11" x14ac:dyDescent="0.25">
      <c r="J431" t="s">
        <v>2173</v>
      </c>
      <c r="K431" t="str">
        <f>REPLACE(IF(A2&gt;0,REPLACE(J431,53,8,A2),""),FIND("ABC",J431,1),3,$I$2)</f>
        <v>&lt;em&gt;6.5.5.1. Spain ABC Market Size and Forecast, by AA (2024-2032)&lt;/em&gt;</v>
      </c>
    </row>
    <row r="432" spans="10:11" x14ac:dyDescent="0.25">
      <c r="J432" t="s">
        <v>2174</v>
      </c>
      <c r="K432" t="str">
        <f>REPLACE(IF(B2&gt;0,REPLACE(J432,53,8,B2),""),FIND("ABC",J432,1),3,$I$2)</f>
        <v>&lt;em&gt;6.5.5.2. Spain ABC Market Size and Forecast, by BB (2024-2032)&lt;/em&gt;</v>
      </c>
    </row>
    <row r="433" spans="10:11" x14ac:dyDescent="0.25">
      <c r="J433" t="s">
        <v>2175</v>
      </c>
      <c r="K433" t="str">
        <f>REPLACE(IF(C2&gt;0,REPLACE(J433,53,8,C2),""),FIND("ABC",J433,1),3,$I$2)</f>
        <v>&lt;em&gt;6.5.5.3. Spain ABC Market Size and Forecast, by CC (2024-2032)&lt;/em&gt;</v>
      </c>
    </row>
    <row r="434" spans="10:11" x14ac:dyDescent="0.25">
      <c r="J434" t="s">
        <v>2176</v>
      </c>
      <c r="K434" t="str">
        <f>REPLACE(IF(D2&gt;0,REPLACE(J434,53,8,D2),""),FIND("ABC",J434,1),3,$I$2)</f>
        <v>&lt;em&gt;6.5.5.4. Spain ABC Market Size and Forecast, by DD (2024-2032)&lt;/em&gt;</v>
      </c>
    </row>
    <row r="435" spans="10:11" x14ac:dyDescent="0.25">
      <c r="J435" t="s">
        <v>2177</v>
      </c>
      <c r="K435" t="str">
        <f>J435</f>
        <v>&lt;strong&gt;&lt;em&gt;6.5.6. Sweden&lt;/em&gt;&lt;/strong&gt;</v>
      </c>
    </row>
    <row r="436" spans="10:11" x14ac:dyDescent="0.25">
      <c r="J436" t="s">
        <v>2178</v>
      </c>
      <c r="K436" t="str">
        <f>REPLACE(IF(A2&gt;0,REPLACE(J436,54,8,A2),""),FIND("ABC",J436,1),3,$I$2)</f>
        <v>&lt;em&gt;6.5.6.1. Sweden ABC Market Size and Forecast, by AA (2024-2032)&lt;/em&gt;</v>
      </c>
    </row>
    <row r="437" spans="10:11" x14ac:dyDescent="0.25">
      <c r="J437" t="s">
        <v>2179</v>
      </c>
      <c r="K437" t="str">
        <f>REPLACE(IF(B2&gt;0,REPLACE(J437,54,8,B2),""),FIND("ABC",J437,1),3,$I$2)</f>
        <v>&lt;em&gt;6.5.6.2. Sweden ABC Market Size and Forecast, by BB (2024-2032)&lt;/em&gt;</v>
      </c>
    </row>
    <row r="438" spans="10:11" x14ac:dyDescent="0.25">
      <c r="J438" t="s">
        <v>2180</v>
      </c>
      <c r="K438" t="str">
        <f>REPLACE(IF(C2&gt;0,REPLACE(J438,54,8,C2),""),FIND("ABC",J438,1),3,$I$2)</f>
        <v>&lt;em&gt;6.5.6.3. Sweden ABC Market Size and Forecast, by CC (2024-2032)&lt;/em&gt;</v>
      </c>
    </row>
    <row r="439" spans="10:11" x14ac:dyDescent="0.25">
      <c r="J439" t="s">
        <v>2181</v>
      </c>
      <c r="K439" t="str">
        <f>REPLACE(IF(D2&gt;0,REPLACE(J439,54,8,D2),""),FIND("ABC",J439,1),3,$I$2)</f>
        <v>&lt;em&gt;6.5.6.4. Sweden ABC Market Size and Forecast, by DD (2024-2032)&lt;/em&gt;</v>
      </c>
    </row>
    <row r="440" spans="10:11" x14ac:dyDescent="0.25">
      <c r="J440" t="s">
        <v>2182</v>
      </c>
      <c r="K440" t="str">
        <f>J440</f>
        <v>&lt;strong&gt;&lt;em&gt;6.5.7. Austria&lt;/em&gt;&lt;/strong&gt;</v>
      </c>
    </row>
    <row r="441" spans="10:11" x14ac:dyDescent="0.25">
      <c r="J441" t="s">
        <v>2183</v>
      </c>
      <c r="K441" t="str">
        <f>REPLACE(IF(A2&gt;0,REPLACE(J441,55,8,A2),""),FIND("ABC",J441,1),3,$I$2)</f>
        <v>&lt;em&gt;6.5.7.1. Austria ABC Market Size and Forecast, by AA (2024-2032)&lt;/em&gt;</v>
      </c>
    </row>
    <row r="442" spans="10:11" x14ac:dyDescent="0.25">
      <c r="J442" t="s">
        <v>2184</v>
      </c>
      <c r="K442" t="str">
        <f>REPLACE(IF(B2&gt;0,REPLACE(J442,55,8,B2),""),FIND("ABC",J442,1),3,$I$2)</f>
        <v>&lt;em&gt;6.5.7.2. Austria ABC Market Size and Forecast, by BB (2024-2032)&lt;/em&gt;</v>
      </c>
    </row>
    <row r="443" spans="10:11" x14ac:dyDescent="0.25">
      <c r="J443" t="s">
        <v>2185</v>
      </c>
      <c r="K443" t="str">
        <f>REPLACE(IF(C2&gt;0,REPLACE(J443,55,8,C2),""),FIND("ABC",J443,1),3,$I$2)</f>
        <v>&lt;em&gt;6.5.7.3. Austria ABC Market Size and Forecast, by CC (2024-2032)&lt;/em&gt;</v>
      </c>
    </row>
    <row r="444" spans="10:11" x14ac:dyDescent="0.25">
      <c r="J444" t="s">
        <v>2186</v>
      </c>
      <c r="K444" t="str">
        <f>REPLACE(IF(D2&gt;0,REPLACE(J444,55,8,D2),""),FIND("ABC",J444,1),3,$I$2)</f>
        <v>&lt;em&gt;6.5.7.4. Austria ABC Market Size and Forecast, by DD (2024-2032)&lt;/em&gt;</v>
      </c>
    </row>
    <row r="445" spans="10:11" x14ac:dyDescent="0.25">
      <c r="J445" t="s">
        <v>2187</v>
      </c>
      <c r="K445" t="str">
        <f>J445</f>
        <v>&lt;strong&gt;&lt;em&gt;6.5.8. Rest of Europe&lt;/em&gt;&lt;/strong&gt;</v>
      </c>
    </row>
    <row r="446" spans="10:11" x14ac:dyDescent="0.25">
      <c r="J446" t="s">
        <v>2188</v>
      </c>
      <c r="K446" t="str">
        <f>REPLACE(IF(A2&gt;0,REPLACE(J446,62,8,A2),""),FIND("ABC",J446,1),3,$I$2)</f>
        <v>&lt;em&gt;6.5.8.1. Rest of Europe ABC Market Size and Forecast, by AA (2024-2032)&lt;/em&gt;</v>
      </c>
    </row>
    <row r="447" spans="10:11" x14ac:dyDescent="0.25">
      <c r="J447" t="s">
        <v>2189</v>
      </c>
      <c r="K447" t="str">
        <f>REPLACE(IF(B2&gt;0,REPLACE(J447,62,8,B2),""),FIND("ABC",J447,1),3,$I$2)</f>
        <v>&lt;em&gt;6.5.8.2. Rest of Europe ABC Market Size and Forecast, by BB (2024-2032)&lt;/em&gt;</v>
      </c>
    </row>
    <row r="448" spans="10:11" x14ac:dyDescent="0.25">
      <c r="J448" t="s">
        <v>2190</v>
      </c>
      <c r="K448" t="str">
        <f>REPLACE(IF(C2&gt;0,REPLACE(J448,62,8,C2),""),FIND("ABC",J448,1),3,$I$2)</f>
        <v>&lt;em&gt;6.5.8.3. Rest of Europe ABC Market Size and Forecast, by CC (2024-2032)&lt;/em&gt;</v>
      </c>
    </row>
    <row r="449" spans="10:11" x14ac:dyDescent="0.25">
      <c r="J449" t="s">
        <v>2191</v>
      </c>
      <c r="K449" t="str">
        <f>REPLACE(IF(D2&gt;0,REPLACE(J449,62,8,D2),""),FIND("ABC",J449,1),3,$I$2)</f>
        <v>&lt;em&gt;6.5.8.4. Rest of Europe ABC Market Size and Forecast, by DD (2024-2032)&lt;/em&gt;</v>
      </c>
    </row>
    <row r="451" spans="10:11" x14ac:dyDescent="0.25">
      <c r="J451" t="s">
        <v>922</v>
      </c>
      <c r="K451" t="str">
        <f>REPLACE(J451,FIND("ABC",J451,1),3,$I$2)</f>
        <v>&lt;strong&gt;7. Asia Pacific ABC Market Size and Forecast by Segmentation (by Value in USD Million) 2024-2032&lt;/strong&gt;</v>
      </c>
    </row>
    <row r="452" spans="10:11" x14ac:dyDescent="0.25">
      <c r="J452" t="s">
        <v>923</v>
      </c>
      <c r="K452" t="str">
        <f>REPLACE(IF(A2&gt;0,REPLACE(J452,52,8,A2),""),FIND("ABC",J452,1),3,$I$2)</f>
        <v>7.1. Asia Pacific ABC Market Size and Forecast, by AA (2024-2032)</v>
      </c>
    </row>
    <row r="453" spans="10:11" x14ac:dyDescent="0.25">
      <c r="J453" t="s">
        <v>924</v>
      </c>
      <c r="K453" t="str">
        <f>REPLACE(IF(B2&gt;0,REPLACE(J453,52,8,B2),""),FIND("ABC",J453,1),3,$I$2)</f>
        <v>7.2. Asia Pacific ABC Market Size and Forecast, by BB (2024-2032)</v>
      </c>
    </row>
    <row r="454" spans="10:11" x14ac:dyDescent="0.25">
      <c r="J454" t="s">
        <v>925</v>
      </c>
      <c r="K454" t="str">
        <f>REPLACE(IF(C2&gt;0,REPLACE(J454,52,8,C2),""),FIND("ABC",J454,1),3,$I$2)</f>
        <v>7.3. Asia Pacific ABC Market Size and Forecast, by CC (2024-2032)</v>
      </c>
    </row>
    <row r="455" spans="10:11" x14ac:dyDescent="0.25">
      <c r="J455" t="s">
        <v>926</v>
      </c>
      <c r="K455" t="str">
        <f>REPLACE(IF(D2&gt;0,REPLACE(J455,52,8,D2),""),FIND("ABC",J455,1),3,$I$2)</f>
        <v>7.4. Asia Pacific ABC Market Size and Forecast, by DD (2024-2032)</v>
      </c>
    </row>
    <row r="456" spans="10:11" x14ac:dyDescent="0.25">
      <c r="J456" t="s">
        <v>2192</v>
      </c>
      <c r="K456" t="str">
        <f>REPLACE(J456,FIND("ABC",J456,1),3,I2)</f>
        <v>7.5. Asia Pacific ABC Market Size and Forecast, by Country (2024-2032)</v>
      </c>
    </row>
    <row r="457" spans="10:11" x14ac:dyDescent="0.25">
      <c r="J457" t="s">
        <v>2193</v>
      </c>
      <c r="K457" t="str">
        <f>J457</f>
        <v>&lt;strong&gt;&lt;em&gt;7.5.1. China&lt;/em&gt;&lt;/strong&gt;</v>
      </c>
    </row>
    <row r="458" spans="10:11" x14ac:dyDescent="0.25">
      <c r="J458" t="s">
        <v>2194</v>
      </c>
      <c r="K458" t="str">
        <f>REPLACE(IF(A2&gt;0,REPLACE(J458,53,8,A2),""),FIND("ABC",J458,1),3,$I$2)</f>
        <v>&lt;em&gt;7.5.1.1. China ABC Market Size and Forecast, by AA (2024-2032)&lt;/em&gt;</v>
      </c>
    </row>
    <row r="459" spans="10:11" x14ac:dyDescent="0.25">
      <c r="J459" t="s">
        <v>2195</v>
      </c>
      <c r="K459" t="str">
        <f>REPLACE(IF(B2&gt;0,REPLACE(J459,53,8,B2),""),FIND("ABC",J459,1),3,$I$2)</f>
        <v>&lt;em&gt;7.5.1.2. China ABC Market Size and Forecast, by BB (2024-2032)&lt;/em&gt;</v>
      </c>
    </row>
    <row r="460" spans="10:11" x14ac:dyDescent="0.25">
      <c r="J460" t="s">
        <v>2196</v>
      </c>
      <c r="K460" t="str">
        <f>REPLACE(IF(C2&gt;0,REPLACE(J460,53,8,C2),""),FIND("ABC",J460,1),3,$I$2)</f>
        <v>&lt;em&gt;7.5.1.3. China ABC Market Size and Forecast, by CC (2024-2032)&lt;/em&gt;</v>
      </c>
    </row>
    <row r="461" spans="10:11" x14ac:dyDescent="0.25">
      <c r="J461" t="s">
        <v>2197</v>
      </c>
      <c r="K461" t="str">
        <f>REPLACE(IF(D2&gt;0,REPLACE(J461,53,8,D2),""),FIND("ABC",J461,1),3,$I$2)</f>
        <v>&lt;em&gt;7.5.1.4. China ABC Market Size and Forecast, by DD (2024-2032)&lt;/em&gt;</v>
      </c>
    </row>
    <row r="462" spans="10:11" x14ac:dyDescent="0.25">
      <c r="J462" t="s">
        <v>2198</v>
      </c>
      <c r="K462" t="str">
        <f>J462</f>
        <v>&lt;strong&gt;&lt;em&gt;7.5.2. S Korea&lt;/em&gt;&lt;/strong&gt;</v>
      </c>
    </row>
    <row r="463" spans="10:11" x14ac:dyDescent="0.25">
      <c r="J463" t="s">
        <v>2199</v>
      </c>
      <c r="K463" t="str">
        <f>REPLACE(IF(A2&gt;0,REPLACE(J463,55,8,A2),""),FIND("ABC",J463,1),3,$I$2)</f>
        <v>&lt;em&gt;7.5.2.1. S Korea ABC Market Size and Forecast, by AA (2024-2032)&lt;/em&gt;</v>
      </c>
    </row>
    <row r="464" spans="10:11" x14ac:dyDescent="0.25">
      <c r="J464" t="s">
        <v>2200</v>
      </c>
      <c r="K464" t="str">
        <f>REPLACE(IF(B2&gt;0,REPLACE(J464,55,8,B2),""),FIND("ABC",J464,1),3,$I$2)</f>
        <v>&lt;em&gt;7.5.2.2. S Korea ABC Market Size and Forecast, by BB (2024-2032)&lt;/em&gt;</v>
      </c>
    </row>
    <row r="465" spans="10:11" x14ac:dyDescent="0.25">
      <c r="J465" t="s">
        <v>2201</v>
      </c>
      <c r="K465" t="str">
        <f>REPLACE(IF(C2&gt;0,REPLACE(J465,55,8,C2),""),FIND("ABC",J465,1),3,$I$2)</f>
        <v>&lt;em&gt;7.5.2.3. S Korea ABC Market Size and Forecast, by CC (2024-2032)&lt;/em&gt;</v>
      </c>
    </row>
    <row r="466" spans="10:11" x14ac:dyDescent="0.25">
      <c r="J466" t="s">
        <v>2202</v>
      </c>
      <c r="K466" t="str">
        <f>REPLACE(IF(D2&gt;0,REPLACE(J466,55,8,D2),""),FIND("ABC",J466,1),3,$I$2)</f>
        <v>&lt;em&gt;7.5.2.4. S Korea ABC Market Size and Forecast, by DD (2024-2032)&lt;/em&gt;</v>
      </c>
    </row>
    <row r="467" spans="10:11" x14ac:dyDescent="0.25">
      <c r="J467" t="s">
        <v>2203</v>
      </c>
      <c r="K467" t="str">
        <f>J467</f>
        <v>&lt;strong&gt;&lt;em&gt;7.5.3. Japan&lt;/em&gt;&lt;/strong&gt;</v>
      </c>
    </row>
    <row r="468" spans="10:11" x14ac:dyDescent="0.25">
      <c r="J468" t="s">
        <v>2204</v>
      </c>
      <c r="K468" t="str">
        <f>REPLACE(IF(A2&gt;0,REPLACE(J468,53,8,A2),""),FIND("ABC",J468,1),3,$I$2)</f>
        <v>&lt;em&gt;7.5.3.1. Japan ABC Market Size and Forecast, by AA (2024-2032)&lt;/em&gt;</v>
      </c>
    </row>
    <row r="469" spans="10:11" x14ac:dyDescent="0.25">
      <c r="J469" t="s">
        <v>2205</v>
      </c>
      <c r="K469" t="str">
        <f>REPLACE(IF(B2&gt;0,REPLACE(J469,53,8,B2),""),FIND("ABC",J469,1),3,$I$2)</f>
        <v>&lt;em&gt;7.5.3.2. Japan ABC Market Size and Forecast, by BB (2024-2032)&lt;/em&gt;</v>
      </c>
    </row>
    <row r="470" spans="10:11" x14ac:dyDescent="0.25">
      <c r="J470" t="s">
        <v>2206</v>
      </c>
      <c r="K470" t="str">
        <f>REPLACE(IF(C2&gt;0,REPLACE(J470,53,8,C2),""),FIND("ABC",J470,1),3,$I$2)</f>
        <v>&lt;em&gt;7.5.3.3. Japan ABC Market Size and Forecast, by CC (2024-2032)&lt;/em&gt;</v>
      </c>
    </row>
    <row r="471" spans="10:11" x14ac:dyDescent="0.25">
      <c r="J471" t="s">
        <v>2207</v>
      </c>
      <c r="K471" t="str">
        <f>REPLACE(IF(D2&gt;0,REPLACE(J471,53,8,D2),""),FIND("ABC",J471,1),3,$I$2)</f>
        <v>&lt;em&gt;7.5.3.4. Japan ABC Market Size and Forecast, by DD (2024-2032)&lt;/em&gt;</v>
      </c>
    </row>
    <row r="472" spans="10:11" x14ac:dyDescent="0.25">
      <c r="J472" t="s">
        <v>2208</v>
      </c>
      <c r="K472" t="str">
        <f>J472</f>
        <v>&lt;strong&gt;&lt;em&gt;7.5.4. India&lt;/em&gt;&lt;/strong&gt;</v>
      </c>
    </row>
    <row r="473" spans="10:11" x14ac:dyDescent="0.25">
      <c r="J473" t="s">
        <v>2209</v>
      </c>
      <c r="K473" t="str">
        <f>REPLACE(IF(A2&gt;0,REPLACE(J473,53,8,A2),""),FIND("ABC",J473,1),3,$I$2)</f>
        <v>&lt;em&gt;7.5.4.1. India ABC Market Size and Forecast, by AA (2024-2032)&lt;/em&gt;</v>
      </c>
    </row>
    <row r="474" spans="10:11" x14ac:dyDescent="0.25">
      <c r="J474" t="s">
        <v>2210</v>
      </c>
      <c r="K474" t="str">
        <f>REPLACE(IF(B2&gt;0,REPLACE(J474,53,8,B2),""),FIND("ABC",J474,1),3,$I$2)</f>
        <v>&lt;em&gt;7.5.4.2. India ABC Market Size and Forecast, by BB (2024-2032)&lt;/em&gt;</v>
      </c>
    </row>
    <row r="475" spans="10:11" x14ac:dyDescent="0.25">
      <c r="J475" t="s">
        <v>2211</v>
      </c>
      <c r="K475" t="str">
        <f>REPLACE(IF(C2&gt;0,REPLACE(J475,53,8,C2),""),FIND("ABC",J475,1),3,$I$2)</f>
        <v>&lt;em&gt;7.5.4.3. India ABC Market Size and Forecast, by CC (2024-2032)&lt;/em&gt;</v>
      </c>
    </row>
    <row r="476" spans="10:11" x14ac:dyDescent="0.25">
      <c r="J476" t="s">
        <v>2212</v>
      </c>
      <c r="K476" t="str">
        <f>REPLACE(IF(D2&gt;0,REPLACE(J476,53,8,D2),""),FIND("ABC",J476,1),3,$I$2)</f>
        <v>&lt;em&gt;7.5.4.4. India ABC Market Size and Forecast, by DD (2024-2032)&lt;/em&gt;</v>
      </c>
    </row>
    <row r="477" spans="10:11" x14ac:dyDescent="0.25">
      <c r="J477" t="s">
        <v>2213</v>
      </c>
      <c r="K477" t="str">
        <f>J477</f>
        <v>&lt;strong&gt;&lt;em&gt;7.5.5. Australia&lt;/em&gt;&lt;/strong&gt;</v>
      </c>
    </row>
    <row r="478" spans="10:11" x14ac:dyDescent="0.25">
      <c r="J478" t="s">
        <v>2214</v>
      </c>
      <c r="K478" t="str">
        <f>REPLACE(IF(A2&gt;0,REPLACE(J478,57,8,A2),""),FIND("ABC",J478,1),3,$I$2)</f>
        <v>&lt;em&gt;7.5.5.1. Australia ABC Market Size and Forecast, by AA (2024-2032)&lt;/em&gt;</v>
      </c>
    </row>
    <row r="479" spans="10:11" x14ac:dyDescent="0.25">
      <c r="J479" t="s">
        <v>2215</v>
      </c>
      <c r="K479" t="str">
        <f>REPLACE(IF(B2&gt;0,REPLACE(J479,57,8,B2),""),FIND("ABC",J479,1),3,$I$2)</f>
        <v>&lt;em&gt;7.5.5.2. Australia ABC Market Size and Forecast, by BB (2024-2032)&lt;/em&gt;</v>
      </c>
    </row>
    <row r="480" spans="10:11" x14ac:dyDescent="0.25">
      <c r="J480" t="s">
        <v>2216</v>
      </c>
      <c r="K480" t="str">
        <f>REPLACE(IF(C2&gt;0,REPLACE(J480,57,8,C2),""),FIND("ABC",J480,1),3,$I$2)</f>
        <v>&lt;em&gt;7.5.5.3. Australia ABC Market Size and Forecast, by CC (2024-2032)&lt;/em&gt;</v>
      </c>
    </row>
    <row r="481" spans="10:11" x14ac:dyDescent="0.25">
      <c r="J481" t="s">
        <v>2217</v>
      </c>
      <c r="K481" t="str">
        <f>REPLACE(IF(D2&gt;0,REPLACE(J481,57,8,D2),""),FIND("ABC",J481,1),3,$I$2)</f>
        <v>&lt;em&gt;7.5.5.4. Australia ABC Market Size and Forecast, by DD (2024-2032)&lt;/em&gt;</v>
      </c>
    </row>
    <row r="482" spans="10:11" x14ac:dyDescent="0.25">
      <c r="J482" t="s">
        <v>2218</v>
      </c>
      <c r="K482" t="str">
        <f>J482</f>
        <v>&lt;strong&gt;&lt;em&gt;7.5.6. Indonesia&lt;/em&gt;&lt;/strong&gt;</v>
      </c>
    </row>
    <row r="483" spans="10:11" x14ac:dyDescent="0.25">
      <c r="J483" t="s">
        <v>2219</v>
      </c>
      <c r="K483" t="str">
        <f>REPLACE(IF(A2&gt;0,REPLACE(J483,57,8,A2),""),FIND("ABC",J483,1),3,$I$2)</f>
        <v>&lt;em&gt;7.5.6.1. Indonesia ABC Market Size and Forecast, by AA (2024-2032)&lt;/em&gt;</v>
      </c>
    </row>
    <row r="484" spans="10:11" x14ac:dyDescent="0.25">
      <c r="J484" t="s">
        <v>2220</v>
      </c>
      <c r="K484" t="str">
        <f>REPLACE(IF(B2&gt;0,REPLACE(J484,57,8,B2),""),FIND("ABC",J484,1),3,$I$2)</f>
        <v>&lt;em&gt;7.5.6.2. Indonesia ABC Market Size and Forecast, by BB (2024-2032)&lt;/em&gt;</v>
      </c>
    </row>
    <row r="485" spans="10:11" x14ac:dyDescent="0.25">
      <c r="J485" t="s">
        <v>2221</v>
      </c>
      <c r="K485" t="str">
        <f>REPLACE(IF(C2&gt;0,REPLACE(J485,57,8,C2),""),FIND("ABC",J485,1),3,$I$2)</f>
        <v>&lt;em&gt;7.5.6.3. Indonesia ABC Market Size and Forecast, by CC (2024-2032)&lt;/em&gt;</v>
      </c>
    </row>
    <row r="486" spans="10:11" x14ac:dyDescent="0.25">
      <c r="J486" t="s">
        <v>2222</v>
      </c>
      <c r="K486" t="str">
        <f>REPLACE(IF(D2&gt;0,REPLACE(J486,57,8,D2),""),FIND("ABC",J486,1),3,$I$2)</f>
        <v>&lt;em&gt;7.5.6.4. Indonesia ABC Market Size and Forecast, by DD (2024-2032)&lt;/em&gt;</v>
      </c>
    </row>
    <row r="487" spans="10:11" x14ac:dyDescent="0.25">
      <c r="J487" t="s">
        <v>2223</v>
      </c>
      <c r="K487" t="str">
        <f>J487</f>
        <v>&lt;strong&gt;&lt;em&gt;7.5.7. Malaysia&lt;/em&gt;&lt;/strong&gt;</v>
      </c>
    </row>
    <row r="488" spans="10:11" x14ac:dyDescent="0.25">
      <c r="J488" t="s">
        <v>2224</v>
      </c>
      <c r="K488" t="str">
        <f>REPLACE(IF(A2&gt;0,REPLACE(J488,56,8,A2),""),FIND("ABC",J488,1),3,$I$2)</f>
        <v>&lt;em&gt;7.5.7.1. Malaysia ABC Market Size and Forecast, by AA (2024-2032)&lt;/em&gt;</v>
      </c>
    </row>
    <row r="489" spans="10:11" x14ac:dyDescent="0.25">
      <c r="J489" t="s">
        <v>2225</v>
      </c>
      <c r="K489" t="str">
        <f>REPLACE(IF(B2&gt;0,REPLACE(J489,56,8,B2),""),FIND("ABC",J489,1),3,$I$2)</f>
        <v>&lt;em&gt;7.5.7.2. Malaysia ABC Market Size and Forecast, by BB (2024-2032)&lt;/em&gt;</v>
      </c>
    </row>
    <row r="490" spans="10:11" x14ac:dyDescent="0.25">
      <c r="J490" t="s">
        <v>2226</v>
      </c>
      <c r="K490" t="str">
        <f>REPLACE(IF(C2&gt;0,REPLACE(J490,56,8,C2),""),FIND("ABC",J490,1),3,$I$2)</f>
        <v>&lt;em&gt;7.5.7.3. Malaysia ABC Market Size and Forecast, by CC (2024-2032)&lt;/em&gt;</v>
      </c>
    </row>
    <row r="491" spans="10:11" x14ac:dyDescent="0.25">
      <c r="J491" t="s">
        <v>2227</v>
      </c>
      <c r="K491" t="str">
        <f>REPLACE(IF(D2&gt;0,REPLACE(J491,56,8,D2),""),FIND("ABC",J491,1),3,$I$2)</f>
        <v>&lt;em&gt;7.5.7.4. Malaysia ABC Market Size and Forecast, by DD (2024-2032)&lt;/em&gt;</v>
      </c>
    </row>
    <row r="492" spans="10:11" x14ac:dyDescent="0.25">
      <c r="J492" t="s">
        <v>2228</v>
      </c>
      <c r="K492" t="str">
        <f>J492</f>
        <v>&lt;strong&gt;&lt;em&gt;7.5.8. Vietnam&lt;/em&gt;&lt;/strong&gt;</v>
      </c>
    </row>
    <row r="493" spans="10:11" x14ac:dyDescent="0.25">
      <c r="J493" t="s">
        <v>2229</v>
      </c>
      <c r="K493" t="str">
        <f>REPLACE(IF(A2&gt;0,REPLACE(J493,55,8,A2),""),FIND("ABC",J493,1),3,$I$2)</f>
        <v>&lt;em&gt;7.5.8.1. Vietnam ABC Market Size and Forecast, by AA (2024-2032)&lt;/em&gt;</v>
      </c>
    </row>
    <row r="494" spans="10:11" x14ac:dyDescent="0.25">
      <c r="J494" t="s">
        <v>2230</v>
      </c>
      <c r="K494" t="str">
        <f>REPLACE(IF(B2&gt;0,REPLACE(J494,55,8,B2),""),FIND("ABC",J494,1),3,$I$2)</f>
        <v>&lt;em&gt;7.5.8.2. Vietnam ABC Market Size and Forecast, by BB (2024-2032)&lt;/em&gt;</v>
      </c>
    </row>
    <row r="495" spans="10:11" x14ac:dyDescent="0.25">
      <c r="J495" t="s">
        <v>2231</v>
      </c>
      <c r="K495" t="str">
        <f>REPLACE(IF(C2&gt;0,REPLACE(J495,55,8,C2),""),FIND("ABC",J495,1),3,$I$2)</f>
        <v>&lt;em&gt;7.5.8.3. Vietnam ABC Market Size and Forecast, by CC (2024-2032)&lt;/em&gt;</v>
      </c>
    </row>
    <row r="496" spans="10:11" x14ac:dyDescent="0.25">
      <c r="J496" t="s">
        <v>2232</v>
      </c>
      <c r="K496" t="str">
        <f>REPLACE(IF(D2&gt;0,REPLACE(J496,55,8,D2),""),FIND("ABC",J496,1),3,$I$2)</f>
        <v>&lt;em&gt;7.5.8.4. Vietnam ABC Market Size and Forecast, by DD (2024-2032)&lt;/em&gt;</v>
      </c>
    </row>
    <row r="497" spans="10:11" x14ac:dyDescent="0.25">
      <c r="J497" t="s">
        <v>2233</v>
      </c>
      <c r="K497" t="str">
        <f>J497</f>
        <v>&lt;strong&gt;&lt;em&gt;7.5.9. Taiwan&lt;/em&gt;&lt;/strong&gt;</v>
      </c>
    </row>
    <row r="498" spans="10:11" x14ac:dyDescent="0.25">
      <c r="J498" t="s">
        <v>2234</v>
      </c>
      <c r="K498" t="str">
        <f>REPLACE(IF(A2&gt;0,REPLACE(J498,54,8,A2),""),FIND("ABC",J498,1),3,$I$2)</f>
        <v>&lt;em&gt;7.5.9.1. Taiwan ABC Market Size and Forecast, by AA (2024-2032)&lt;/em&gt;</v>
      </c>
    </row>
    <row r="499" spans="10:11" x14ac:dyDescent="0.25">
      <c r="J499" t="s">
        <v>2235</v>
      </c>
      <c r="K499" t="str">
        <f>REPLACE(IF(B2&gt;0,REPLACE(J499,54,8,B2),""),FIND("ABC",J499,1),3,$I$2)</f>
        <v>&lt;em&gt;7.5.9.2. Taiwan ABC Market Size and Forecast, by BB (2024-2032)&lt;/em&gt;</v>
      </c>
    </row>
    <row r="500" spans="10:11" x14ac:dyDescent="0.25">
      <c r="J500" t="s">
        <v>2236</v>
      </c>
      <c r="K500" t="str">
        <f>REPLACE(IF(C2&gt;0,REPLACE(J500,54,8,C2),""),FIND("ABC",J500,1),3,$I$2)</f>
        <v>&lt;em&gt;7.5.9.3. Taiwan ABC Market Size and Forecast, by CC (2024-2032)&lt;/em&gt;</v>
      </c>
    </row>
    <row r="501" spans="10:11" x14ac:dyDescent="0.25">
      <c r="J501" t="s">
        <v>2237</v>
      </c>
      <c r="K501" t="str">
        <f>REPLACE(IF(D2&gt;0,REPLACE(J501,54,8,D2),""),FIND("ABC",J501,1),3,$I$2)</f>
        <v>&lt;em&gt;7.5.9.4. Taiwan ABC Market Size and Forecast, by DD (2024-2032)&lt;/em&gt;</v>
      </c>
    </row>
    <row r="502" spans="10:11" x14ac:dyDescent="0.25">
      <c r="J502" t="s">
        <v>2238</v>
      </c>
      <c r="K502" t="str">
        <f>J502</f>
        <v>&lt;strong&gt;&lt;em&gt;7.5.10. Rest of Asia Pacific&lt;/em&gt;&lt;/strong&gt;</v>
      </c>
    </row>
    <row r="503" spans="10:11" x14ac:dyDescent="0.25">
      <c r="J503" t="s">
        <v>2239</v>
      </c>
      <c r="K503" t="str">
        <f>REPLACE(IF(A2&gt;0,REPLACE(J503,69,8,A2),""),FIND("ABC",J503,1),3,$I$2)</f>
        <v>&lt;em&gt;7.5.10.1. Rest of Asia Pacific ABC Market Size and Forecast, by AA (2024-2032)&lt;/em&gt;</v>
      </c>
    </row>
    <row r="504" spans="10:11" x14ac:dyDescent="0.25">
      <c r="J504" t="s">
        <v>2240</v>
      </c>
      <c r="K504" t="str">
        <f>REPLACE(IF(B2&gt;0,REPLACE(J504,69,8,B2),""),FIND("ABC",J504,1),3,$I$2)</f>
        <v>&lt;em&gt;7.5.10.2. Rest of Asia Pacific ABC Market Size and Forecast, by BB (2024-2032)&lt;/em&gt;</v>
      </c>
    </row>
    <row r="505" spans="10:11" x14ac:dyDescent="0.25">
      <c r="J505" t="s">
        <v>2241</v>
      </c>
      <c r="K505" t="str">
        <f>REPLACE(IF(C2&gt;0,REPLACE(J505,69,8,C2),""),FIND("ABC",J505,1),3,$I$2)</f>
        <v>&lt;em&gt;7.5.10.3. Rest of Asia Pacific ABC Market Size and Forecast, by CC (2024-2032)&lt;/em&gt;</v>
      </c>
    </row>
    <row r="506" spans="10:11" x14ac:dyDescent="0.25">
      <c r="J506" t="s">
        <v>2242</v>
      </c>
      <c r="K506" t="str">
        <f>REPLACE(IF(D2&gt;0,REPLACE(J506,69,8,D2),""),FIND("ABC",J506,1),3,$I$2)</f>
        <v>&lt;em&gt;7.5.10.4. Rest of Asia Pacific ABC Market Size and Forecast, by DD (2024-2032)&lt;/em&gt;</v>
      </c>
    </row>
    <row r="508" spans="10:11" x14ac:dyDescent="0.25">
      <c r="J508" t="s">
        <v>1001</v>
      </c>
      <c r="K508" t="str">
        <f>REPLACE(J508,FIND("ABC",J508,1),3,I2)</f>
        <v>&lt;strong&gt;8. Middle East and Africa ABC Market Size and Forecast by Segmentation (by Value in USD Million) 2024-2032&lt;/strong&gt;</v>
      </c>
    </row>
    <row r="509" spans="10:11" x14ac:dyDescent="0.25">
      <c r="J509" t="s">
        <v>1002</v>
      </c>
      <c r="K509" t="str">
        <f>REPLACE(IF(A2&gt;0,REPLACE(J509,62,8,A2),""),FIND("ABC",J509,1),3,$I$2)</f>
        <v>8.1. Middle East and Africa ABC Market Size and Forecast, by AA (2024-2032)</v>
      </c>
    </row>
    <row r="510" spans="10:11" x14ac:dyDescent="0.25">
      <c r="J510" t="s">
        <v>1003</v>
      </c>
      <c r="K510" t="str">
        <f>REPLACE(IF(B2&gt;0,REPLACE(J510,62,8,B2),""),FIND("ABC",J510,1),3,$I$2)</f>
        <v>8.2. Middle East and Africa ABC Market Size and Forecast, by BB (2024-2032)</v>
      </c>
    </row>
    <row r="511" spans="10:11" x14ac:dyDescent="0.25">
      <c r="J511" t="s">
        <v>1004</v>
      </c>
      <c r="K511" t="str">
        <f>REPLACE(IF(C2&gt;0,REPLACE(J511,62,8,C2),""),FIND("ABC",J511,1),3,$I$2)</f>
        <v>8.3. Middle East and Africa ABC Market Size and Forecast, by CC (2024-2032)</v>
      </c>
    </row>
    <row r="512" spans="10:11" x14ac:dyDescent="0.25">
      <c r="J512" t="s">
        <v>1005</v>
      </c>
      <c r="K512" t="str">
        <f>REPLACE(IF(D2&gt;0,REPLACE(J512,62,8,D2),""),FIND("ABC",J512,1),3,$I$2)</f>
        <v>8.4. Middle East and Africa ABC Market Size and Forecast, by DD (2024-2032)</v>
      </c>
    </row>
    <row r="513" spans="10:11" x14ac:dyDescent="0.25">
      <c r="J513" t="s">
        <v>2243</v>
      </c>
      <c r="K513" t="str">
        <f>REPLACE(J513,FIND("ABC",J513,1),3,$I$2)</f>
        <v>8.5. Middle East and Africa ABC Market Size and Forecast, by Country (2024-2032)</v>
      </c>
    </row>
    <row r="514" spans="10:11" x14ac:dyDescent="0.25">
      <c r="J514" t="s">
        <v>2244</v>
      </c>
      <c r="K514" t="str">
        <f>J514</f>
        <v>&lt;strong&gt;&lt;em&gt;8.5.1. South Africa&lt;/em&gt;&lt;/strong&gt;</v>
      </c>
    </row>
    <row r="515" spans="10:11" x14ac:dyDescent="0.25">
      <c r="J515" t="s">
        <v>2245</v>
      </c>
      <c r="K515" t="str">
        <f>REPLACE(IF(A2&gt;0,REPLACE(J515,60,8,A2),""),FIND("ABC",J515,1),3,$I$2)</f>
        <v>&lt;em&gt;8.5.1.1. South Africa ABC Market Size and Forecast, by AA (2024-2032)&lt;/em&gt;</v>
      </c>
    </row>
    <row r="516" spans="10:11" x14ac:dyDescent="0.25">
      <c r="J516" t="s">
        <v>2246</v>
      </c>
      <c r="K516" t="str">
        <f>REPLACE(IF(B2&gt;0,REPLACE(J516,60,8,B2),""),FIND("ABC",J516,1),3,$I$2)</f>
        <v>&lt;em&gt;8.5.1.2. South Africa ABC Market Size and Forecast, by BB (2024-2032)&lt;/em&gt;</v>
      </c>
    </row>
    <row r="517" spans="10:11" x14ac:dyDescent="0.25">
      <c r="J517" t="s">
        <v>2247</v>
      </c>
      <c r="K517" t="str">
        <f>REPLACE(IF(C2&gt;0,REPLACE(J517,60,8,C2),""),FIND("ABC",J517,1),3,$I$2)</f>
        <v>&lt;em&gt;8.5.1.3. South Africa ABC Market Size and Forecast, by CC (2024-2032)&lt;/em&gt;</v>
      </c>
    </row>
    <row r="518" spans="10:11" x14ac:dyDescent="0.25">
      <c r="J518" t="s">
        <v>2248</v>
      </c>
      <c r="K518" t="str">
        <f>REPLACE(IF(D2&gt;0,REPLACE(J518,60,8,D2),""),FIND("ABC",J518,1),3,$I$2)</f>
        <v>&lt;em&gt;8.5.1.4. South Africa ABC Market Size and Forecast, by DD (2024-2032)&lt;/em&gt;</v>
      </c>
    </row>
    <row r="519" spans="10:11" x14ac:dyDescent="0.25">
      <c r="J519" t="s">
        <v>2249</v>
      </c>
      <c r="K519" t="str">
        <f>J519</f>
        <v>&lt;strong&gt;&lt;em&gt;8.5.2. GCC&lt;/em&gt;&lt;/strong&gt;</v>
      </c>
    </row>
    <row r="520" spans="10:11" x14ac:dyDescent="0.25">
      <c r="J520" t="s">
        <v>2250</v>
      </c>
      <c r="K520" t="str">
        <f>REPLACE(IF(A2&gt;0,REPLACE(J520,51,8,A2),""),FIND("ABC",J520,1),3,$I$2)</f>
        <v>&lt;em&gt;8.5.2.1. GCC ABC Market Size and Forecast, by AA (2024-2032)&lt;/em&gt;</v>
      </c>
    </row>
    <row r="521" spans="10:11" x14ac:dyDescent="0.25">
      <c r="J521" t="s">
        <v>2251</v>
      </c>
      <c r="K521" t="str">
        <f>REPLACE(IF(B2&gt;0,REPLACE(J521,51,8,B2),""),FIND("ABC",J521,1),3,$I$2)</f>
        <v>&lt;em&gt;8.5.2.2. GCC ABC Market Size and Forecast, by BB (2024-2032)&lt;/em&gt;</v>
      </c>
    </row>
    <row r="522" spans="10:11" x14ac:dyDescent="0.25">
      <c r="J522" t="s">
        <v>2252</v>
      </c>
      <c r="K522" t="str">
        <f>REPLACE(IF(C2&gt;0,REPLACE(J522,51,8,C2),""),FIND("ABC",J522,1),3,$I$2)</f>
        <v>&lt;em&gt;8.5.2.3. GCC ABC Market Size and Forecast, by CC (2024-2032)&lt;/em&gt;</v>
      </c>
    </row>
    <row r="523" spans="10:11" x14ac:dyDescent="0.25">
      <c r="J523" t="s">
        <v>2253</v>
      </c>
      <c r="K523" t="str">
        <f>REPLACE(IF(D2&gt;0,REPLACE(J523,51,8,D2),""),FIND("ABC",J523,1),3,$I$2)</f>
        <v>&lt;em&gt;8.5.2.4. GCC ABC Market Size and Forecast, by DD (2024-2032)&lt;/em&gt;</v>
      </c>
    </row>
    <row r="524" spans="10:11" x14ac:dyDescent="0.25">
      <c r="J524" t="s">
        <v>2254</v>
      </c>
      <c r="K524" t="str">
        <f>J524</f>
        <v>&lt;strong&gt;&lt;em&gt;8.5.3. Nigeria&lt;/em&gt;&lt;/strong&gt;</v>
      </c>
    </row>
    <row r="525" spans="10:11" x14ac:dyDescent="0.25">
      <c r="J525" t="s">
        <v>2255</v>
      </c>
      <c r="K525" t="str">
        <f>REPLACE(IF(A2&gt;0,REPLACE(J525,55,8,A2),""),FIND("ABC",J525,1),3,$I$2)</f>
        <v>&lt;em&gt;8.5.3.1. Nigeria ABC Market Size and Forecast, by AA (2024-2032)&lt;/em&gt;</v>
      </c>
    </row>
    <row r="526" spans="10:11" x14ac:dyDescent="0.25">
      <c r="J526" t="s">
        <v>2256</v>
      </c>
      <c r="K526" t="str">
        <f>REPLACE(IF(B2&gt;0,REPLACE(J526,55,8,B2),""),FIND("ABC",J526,1),3,$I$2)</f>
        <v>&lt;em&gt;8.5.3.2. Nigeria ABC Market Size and Forecast, by BB (2024-2032)&lt;/em&gt;</v>
      </c>
    </row>
    <row r="527" spans="10:11" x14ac:dyDescent="0.25">
      <c r="J527" t="s">
        <v>2257</v>
      </c>
      <c r="K527" t="str">
        <f>REPLACE(IF(C2&gt;0,REPLACE(J527,55,8,C2),""),FIND("ABC",J527,1),3,$I$2)</f>
        <v>&lt;em&gt;8.5.3.3. Nigeria ABC Market Size and Forecast, by CC (2024-2032)&lt;/em&gt;</v>
      </c>
    </row>
    <row r="528" spans="10:11" x14ac:dyDescent="0.25">
      <c r="J528" t="s">
        <v>2258</v>
      </c>
      <c r="K528" t="str">
        <f>REPLACE(IF(D2&gt;0,REPLACE(J528,55,8,D2),""),FIND("ABC",J528,1),3,$I$2)</f>
        <v>&lt;em&gt;8.5.3.4. Nigeria ABC Market Size and Forecast, by DD (2024-2032)&lt;/em&gt;</v>
      </c>
    </row>
    <row r="529" spans="10:11" x14ac:dyDescent="0.25">
      <c r="J529" t="s">
        <v>2259</v>
      </c>
      <c r="K529" t="str">
        <f>J529</f>
        <v>&lt;strong&gt;&lt;em&gt;8.5.4. Rest of ME&amp;amp;A&lt;/em&gt;&lt;/strong&gt;</v>
      </c>
    </row>
    <row r="530" spans="10:11" x14ac:dyDescent="0.25">
      <c r="J530" t="s">
        <v>2260</v>
      </c>
      <c r="K530" t="str">
        <f>REPLACE(IF(A2&gt;0,REPLACE(J530,64,8,A2),""),FIND("ABC",J530,1),3,$I$2)</f>
        <v>&lt;em&gt;8.5.4.1. Rest of ME&amp;amp;A ABC Market Size and Forecast, by AA (2024-2032)&lt;/em&gt;</v>
      </c>
    </row>
    <row r="531" spans="10:11" x14ac:dyDescent="0.25">
      <c r="J531" t="s">
        <v>2261</v>
      </c>
      <c r="K531" t="str">
        <f>REPLACE(IF(B2&gt;0,REPLACE(J531,64,8,B2),""),FIND("ABC",J531,1),3,$I$2)</f>
        <v>&lt;em&gt;8.5.4.2. Rest of ME&amp;amp;A ABC Market Size and Forecast, by BB (2024-2032)&lt;/em&gt;</v>
      </c>
    </row>
    <row r="532" spans="10:11" x14ac:dyDescent="0.25">
      <c r="J532" t="s">
        <v>2262</v>
      </c>
      <c r="K532" t="str">
        <f>REPLACE(IF(C2&gt;0,REPLACE(J532,64,8,C2),""),FIND("ABC",J532,1),3,$I$2)</f>
        <v>&lt;em&gt;8.5.4.3. Rest of ME&amp;amp;A ABC Market Size and Forecast, by CC (2024-2032)&lt;/em&gt;</v>
      </c>
    </row>
    <row r="533" spans="10:11" x14ac:dyDescent="0.25">
      <c r="J533" t="s">
        <v>2263</v>
      </c>
      <c r="K533" t="str">
        <f>REPLACE(IF(D2&gt;0,REPLACE(J533,64,8,D2),""),FIND("ABC",J533,1),3,$I$2)</f>
        <v>&lt;em&gt;8.5.4.4. Rest of ME&amp;amp;A ABC Market Size and Forecast, by DD (2024-2032)&lt;/em&gt;</v>
      </c>
    </row>
    <row r="535" spans="10:11" x14ac:dyDescent="0.25">
      <c r="J535" t="s">
        <v>1038</v>
      </c>
      <c r="K535" t="str">
        <f>REPLACE(J535,FIND("ABC",J535,1),3,$I$2)</f>
        <v>&lt;strong&gt;9. South America ABC Market Size and Forecast by Segmentation (by Value in USD Million) 2024-2032&lt;/strong&gt;</v>
      </c>
    </row>
    <row r="536" spans="10:11" x14ac:dyDescent="0.25">
      <c r="J536" t="s">
        <v>1039</v>
      </c>
      <c r="K536" t="str">
        <f>REPLACE(IF(A2&gt;0,REPLACE(J536,53,8,A2),""),FIND("ABC",J536,1),3,$I$2)</f>
        <v>9.1. South America ABC Market Size and Forecast, by AA (2024-2032)</v>
      </c>
    </row>
    <row r="537" spans="10:11" x14ac:dyDescent="0.25">
      <c r="J537" t="s">
        <v>1040</v>
      </c>
      <c r="K537" t="str">
        <f>REPLACE(IF(B2&gt;0,REPLACE(J537,53,8,B2),""),FIND("ABC",J537,1),3,$I$2)</f>
        <v>9.2. South America ABC Market Size and Forecast, by BB (2024-2032)</v>
      </c>
    </row>
    <row r="538" spans="10:11" x14ac:dyDescent="0.25">
      <c r="J538" t="s">
        <v>1041</v>
      </c>
      <c r="K538" t="str">
        <f>REPLACE(IF(C2&gt;0,REPLACE(J538,53,8,C2),""),FIND("ABC",J538,1),3,$I$2)</f>
        <v>9.3. South America ABC Market Size and Forecast, by CC(2024-2032)</v>
      </c>
    </row>
    <row r="539" spans="10:11" x14ac:dyDescent="0.25">
      <c r="J539" t="s">
        <v>1042</v>
      </c>
      <c r="K539" t="str">
        <f>REPLACE(IF(D2&gt;0,REPLACE(J539,53,8,D2),""),FIND("ABC",J539,1),3,$I$2)</f>
        <v>9.4. South America ABC Market Size and Forecast, by DD (2024-2032)</v>
      </c>
    </row>
    <row r="540" spans="10:11" x14ac:dyDescent="0.25">
      <c r="J540" t="s">
        <v>2264</v>
      </c>
      <c r="K540" t="str">
        <f>REPLACE(J540,FIND("ABC",J540,1),3,$I$2)</f>
        <v>9.5. South America ABC Market Size and Forecast, by Country (2024-2032)</v>
      </c>
    </row>
    <row r="541" spans="10:11" x14ac:dyDescent="0.25">
      <c r="J541" t="s">
        <v>2265</v>
      </c>
      <c r="K541" t="str">
        <f>J541</f>
        <v>&lt;strong&gt;&lt;em&gt;9.5.1. Brazil&lt;/em&gt;&lt;/strong&gt;</v>
      </c>
    </row>
    <row r="542" spans="10:11" x14ac:dyDescent="0.25">
      <c r="J542" t="s">
        <v>2266</v>
      </c>
      <c r="K542" t="str">
        <f>REPLACE(IF(A2&gt;0,REPLACE(J542,54,8,A2),""),FIND("ABC",J542,1),3,$I$2)</f>
        <v>&lt;em&gt;9.5.1.1. Brazil ABC Market Size and Forecast, by AA (2024-2032)&lt;/em&gt;</v>
      </c>
    </row>
    <row r="543" spans="10:11" x14ac:dyDescent="0.25">
      <c r="J543" t="s">
        <v>2267</v>
      </c>
      <c r="K543" t="str">
        <f>REPLACE(IF(B2&gt;0,REPLACE(J543,54,8,B2),""),FIND("ABC",J543,1),3,$I$2)</f>
        <v>&lt;em&gt;9.5.1.2. Brazil ABC Market Size and Forecast, by BB (2024-2032)&lt;/em&gt;</v>
      </c>
    </row>
    <row r="544" spans="10:11" x14ac:dyDescent="0.25">
      <c r="J544" t="s">
        <v>2268</v>
      </c>
      <c r="K544" t="str">
        <f>REPLACE(IF(C2&gt;0,REPLACE(J544,54,8,C2),""),FIND("ABC",J544,1),3,$I$2)</f>
        <v>&lt;em&gt;9.5.1.3. Brazil ABC Market Size and Forecast, by CC (2024-2032)&lt;/em&gt;</v>
      </c>
    </row>
    <row r="545" spans="10:11" x14ac:dyDescent="0.25">
      <c r="J545" t="s">
        <v>2269</v>
      </c>
      <c r="K545" t="str">
        <f>REPLACE(IF(D2&gt;0,REPLACE(J545,54,8,D2),""),FIND("ABC",J545,1),3,$I$2)</f>
        <v>&lt;em&gt;9.5.1.4. Brazil ABC Market Size and Forecast, by DD (2024-2032)&lt;/em&gt;</v>
      </c>
    </row>
    <row r="546" spans="10:11" x14ac:dyDescent="0.25">
      <c r="J546" t="s">
        <v>2270</v>
      </c>
      <c r="K546" t="str">
        <f>J546</f>
        <v>&lt;strong&gt;&lt;em&gt;9.5.2. Argentina&lt;/em&gt;&lt;/strong&gt;</v>
      </c>
    </row>
    <row r="547" spans="10:11" x14ac:dyDescent="0.25">
      <c r="J547" t="s">
        <v>2271</v>
      </c>
      <c r="K547" t="str">
        <f>REPLACE(IF(A2&gt;0,REPLACE(J547,57,8,A2),""),FIND("ABC",J547,1),3,$I$2)</f>
        <v>&lt;em&gt;9.5.2.1. Argentina ABC Market Size and Forecast, by AA (2024-2032)&lt;/em&gt;</v>
      </c>
    </row>
    <row r="548" spans="10:11" x14ac:dyDescent="0.25">
      <c r="J548" t="s">
        <v>2272</v>
      </c>
      <c r="K548" t="str">
        <f>REPLACE(IF(B2&gt;0,REPLACE(J548,57,8,B2),""),FIND("ABC",J548,1),3,$I$2)</f>
        <v>&lt;em&gt;9.5.2.2. Argentina ABC Market Size and Forecast, by BB (2024-2032)&lt;/em&gt;</v>
      </c>
    </row>
    <row r="549" spans="10:11" x14ac:dyDescent="0.25">
      <c r="J549" t="s">
        <v>2273</v>
      </c>
      <c r="K549" t="str">
        <f>REPLACE(IF(C2&gt;0,REPLACE(J549,57,8,C2),""),FIND("ABC",J549,1),3,$I$2)</f>
        <v>&lt;em&gt;9.5.2.3. Argentina ABC Market Size and Forecast, by CC (2024-2032)&lt;/em&gt;</v>
      </c>
    </row>
    <row r="550" spans="10:11" x14ac:dyDescent="0.25">
      <c r="J550" t="s">
        <v>2274</v>
      </c>
      <c r="K550" t="str">
        <f>REPLACE(IF(D2&gt;0,REPLACE(J550,57,8,D2),""),FIND("ABC",J550,1),3,$I$2)</f>
        <v>&lt;em&gt;9.5.2.4. Argentina ABC Market Size and Forecast, by DD (2024-2032)&lt;/em&gt;</v>
      </c>
    </row>
    <row r="551" spans="10:11" x14ac:dyDescent="0.25">
      <c r="J551" t="s">
        <v>2275</v>
      </c>
      <c r="K551" t="str">
        <f>J551</f>
        <v>&lt;strong&gt;&lt;em&gt;9.5.3. Rest Of South America&lt;/em&gt;&lt;/strong&gt;</v>
      </c>
    </row>
    <row r="552" spans="10:11" x14ac:dyDescent="0.25">
      <c r="J552" t="s">
        <v>2276</v>
      </c>
      <c r="K552" t="str">
        <f>REPLACE(IF(A2&gt;0,REPLACE(J552,69,8,A2),""),FIND("ABC",J552,1),3,$I$2)</f>
        <v>&lt;em&gt;9.5.3.1. Rest Of South America ABC Market Size and Forecast, by AA (2024-2032)&lt;/em&gt;</v>
      </c>
    </row>
    <row r="553" spans="10:11" x14ac:dyDescent="0.25">
      <c r="J553" t="s">
        <v>2277</v>
      </c>
      <c r="K553" t="str">
        <f>REPLACE(IF(B2&gt;0,REPLACE(J553,69,8,B2),""),FIND("ABC",J553,1),3,$I$2)</f>
        <v>&lt;em&gt;9.5.3.2. Rest Of South America ABC Market Size and Forecast, by BB (2024-2032)&lt;/em&gt;</v>
      </c>
    </row>
    <row r="554" spans="10:11" x14ac:dyDescent="0.25">
      <c r="J554" t="s">
        <v>2278</v>
      </c>
      <c r="K554" t="str">
        <f>REPLACE(IF(C2&gt;0,REPLACE(J554,69,8,C2),""),FIND("ABC",J554,1),3,$I$2)</f>
        <v>&lt;em&gt;9.5.3.3. Rest Of South America ABC Market Size and Forecast, by CC (2024-2032)&lt;/em&gt;</v>
      </c>
    </row>
    <row r="555" spans="10:11" x14ac:dyDescent="0.25">
      <c r="J555" t="s">
        <v>2279</v>
      </c>
      <c r="K555" t="str">
        <f>REPLACE(IF(D2&gt;0,REPLACE(J555,69,8,D2),""),FIND("ABC",J555,1),3,$I$2)</f>
        <v>&lt;em&gt;9.5.3.4. Rest Of South America ABC Market Size and Forecast, by DD (2024-2032)&lt;/em&gt;</v>
      </c>
    </row>
    <row r="557" spans="10:11" x14ac:dyDescent="0.25">
      <c r="J557" t="s">
        <v>58</v>
      </c>
      <c r="K557" t="s">
        <v>58</v>
      </c>
    </row>
    <row r="558" spans="10:11" x14ac:dyDescent="0.25">
      <c r="J558" t="s">
        <v>87</v>
      </c>
      <c r="K558" t="str">
        <f>IF(H4&gt;0,REPLACE(J558,7,8,H4),"")</f>
        <v>10.1. Company1</v>
      </c>
    </row>
    <row r="559" spans="10:11" x14ac:dyDescent="0.25">
      <c r="J559" t="s">
        <v>59</v>
      </c>
      <c r="K559" t="s">
        <v>59</v>
      </c>
    </row>
    <row r="560" spans="10:11" x14ac:dyDescent="0.25">
      <c r="J560" t="s">
        <v>60</v>
      </c>
      <c r="K560" t="s">
        <v>60</v>
      </c>
    </row>
    <row r="561" spans="10:11" x14ac:dyDescent="0.25">
      <c r="J561" t="s">
        <v>61</v>
      </c>
      <c r="K561" t="s">
        <v>61</v>
      </c>
    </row>
    <row r="562" spans="10:11" x14ac:dyDescent="0.25">
      <c r="J562" t="s">
        <v>62</v>
      </c>
      <c r="K562" t="s">
        <v>62</v>
      </c>
    </row>
    <row r="563" spans="10:11" x14ac:dyDescent="0.25">
      <c r="J563" t="s">
        <v>63</v>
      </c>
      <c r="K563" t="s">
        <v>63</v>
      </c>
    </row>
    <row r="564" spans="10:11" x14ac:dyDescent="0.25">
      <c r="J564" t="s">
        <v>64</v>
      </c>
      <c r="K564" t="s">
        <v>64</v>
      </c>
    </row>
    <row r="565" spans="10:11" x14ac:dyDescent="0.25">
      <c r="J565" t="s">
        <v>65</v>
      </c>
      <c r="K565" t="s">
        <v>65</v>
      </c>
    </row>
    <row r="566" spans="10:11" x14ac:dyDescent="0.25">
      <c r="J566" t="s">
        <v>66</v>
      </c>
      <c r="K566" t="s">
        <v>66</v>
      </c>
    </row>
    <row r="567" spans="10:11" x14ac:dyDescent="0.25">
      <c r="J567" t="s">
        <v>67</v>
      </c>
      <c r="K567" t="s">
        <v>67</v>
      </c>
    </row>
    <row r="568" spans="10:11" x14ac:dyDescent="0.25">
      <c r="J568" t="s">
        <v>68</v>
      </c>
      <c r="K568" t="s">
        <v>68</v>
      </c>
    </row>
    <row r="569" spans="10:11" x14ac:dyDescent="0.25">
      <c r="J569" t="s">
        <v>88</v>
      </c>
      <c r="K569" t="str">
        <f>IF(H5&gt;0,REPLACE(J569,7,8,H5),"")</f>
        <v/>
      </c>
    </row>
    <row r="570" spans="10:11" x14ac:dyDescent="0.25">
      <c r="J570" t="s">
        <v>89</v>
      </c>
      <c r="K570" t="str">
        <f>IF(H6&gt;0,REPLACE(J570,7,8,H6),"")</f>
        <v/>
      </c>
    </row>
    <row r="571" spans="10:11" x14ac:dyDescent="0.25">
      <c r="J571" t="s">
        <v>90</v>
      </c>
      <c r="K571" t="str">
        <f>IF(H7&gt;0,REPLACE(J571,7,8,H7),"")</f>
        <v/>
      </c>
    </row>
    <row r="572" spans="10:11" x14ac:dyDescent="0.25">
      <c r="J572" t="s">
        <v>91</v>
      </c>
      <c r="K572" t="str">
        <f>IF(H8&gt;0,REPLACE(J572,7,8,H8),"")</f>
        <v/>
      </c>
    </row>
    <row r="573" spans="10:11" x14ac:dyDescent="0.25">
      <c r="J573" t="s">
        <v>92</v>
      </c>
      <c r="K573" t="str">
        <f>IF(H9&gt;0,REPLACE(J573,7,8,H9),"")</f>
        <v/>
      </c>
    </row>
    <row r="574" spans="10:11" x14ac:dyDescent="0.25">
      <c r="J574" t="s">
        <v>93</v>
      </c>
      <c r="K574" t="str">
        <f>IF(H10&gt;0,REPLACE(J574,7,8,H10),"")</f>
        <v/>
      </c>
    </row>
    <row r="575" spans="10:11" x14ac:dyDescent="0.25">
      <c r="J575" t="s">
        <v>94</v>
      </c>
      <c r="K575" t="str">
        <f>IF(H11&gt;0,REPLACE(J575,7,8,H11),"")</f>
        <v/>
      </c>
    </row>
    <row r="576" spans="10:11" x14ac:dyDescent="0.25">
      <c r="J576" t="s">
        <v>95</v>
      </c>
      <c r="K576" t="str">
        <f>IF(H12&gt;0,REPLACE(J576,7,8,H12),"")</f>
        <v/>
      </c>
    </row>
    <row r="577" spans="10:11" x14ac:dyDescent="0.25">
      <c r="J577" t="s">
        <v>96</v>
      </c>
      <c r="K577" t="str">
        <f>IF(H13&gt;0,REPLACE(J577,8,9,H13),"")</f>
        <v/>
      </c>
    </row>
    <row r="578" spans="10:11" x14ac:dyDescent="0.25">
      <c r="J578" t="s">
        <v>97</v>
      </c>
      <c r="K578" t="str">
        <f>IF(H14&gt;0,REPLACE(J578,8,9,H14),"")</f>
        <v/>
      </c>
    </row>
    <row r="579" spans="10:11" x14ac:dyDescent="0.25">
      <c r="J579" t="s">
        <v>98</v>
      </c>
      <c r="K579" t="str">
        <f>IF(H15&gt;0,REPLACE(J579,8,9,H15),"")</f>
        <v/>
      </c>
    </row>
    <row r="580" spans="10:11" x14ac:dyDescent="0.25">
      <c r="J580" t="s">
        <v>99</v>
      </c>
      <c r="K580" t="str">
        <f>IF(H16&gt;0,REPLACE(J580,8,9,H16),"")</f>
        <v/>
      </c>
    </row>
    <row r="581" spans="10:11" x14ac:dyDescent="0.25">
      <c r="J581" t="s">
        <v>100</v>
      </c>
      <c r="K581" t="str">
        <f>IF(H17&gt;0,REPLACE(J581,8,9,H17),"")</f>
        <v/>
      </c>
    </row>
    <row r="582" spans="10:11" x14ac:dyDescent="0.25">
      <c r="J582" t="s">
        <v>101</v>
      </c>
      <c r="K582" t="str">
        <f>IF(H18&gt;0,REPLACE(J582,8,9,H18),"")</f>
        <v/>
      </c>
    </row>
    <row r="583" spans="10:11" x14ac:dyDescent="0.25">
      <c r="J583" t="s">
        <v>102</v>
      </c>
      <c r="K583" t="str">
        <f>IF(H19&gt;0,REPLACE(J583,8,9,H19),"")</f>
        <v/>
      </c>
    </row>
    <row r="584" spans="10:11" x14ac:dyDescent="0.25">
      <c r="J584" t="s">
        <v>103</v>
      </c>
      <c r="K584" t="str">
        <f>IF(H20&gt;0,REPLACE(J584,8,9,H20),"")</f>
        <v/>
      </c>
    </row>
    <row r="585" spans="10:11" x14ac:dyDescent="0.25">
      <c r="J585" t="s">
        <v>104</v>
      </c>
      <c r="K585" t="str">
        <f>IF(H21&gt;0,REPLACE(J585,8,9,H21),"")</f>
        <v/>
      </c>
    </row>
    <row r="586" spans="10:11" x14ac:dyDescent="0.25">
      <c r="J586" t="s">
        <v>105</v>
      </c>
      <c r="K586" t="str">
        <f>IF(H22&gt;0,REPLACE(J586,8,9,H22),"")</f>
        <v/>
      </c>
    </row>
    <row r="587" spans="10:11" x14ac:dyDescent="0.25">
      <c r="J587" t="s">
        <v>106</v>
      </c>
      <c r="K587" t="str">
        <f>IF(H23&gt;0,REPLACE(J587,8,9,H23),"")</f>
        <v/>
      </c>
    </row>
    <row r="588" spans="10:11" x14ac:dyDescent="0.25">
      <c r="J588" t="s">
        <v>107</v>
      </c>
      <c r="K588" t="str">
        <f>IF(H24&gt;0,REPLACE(J588,8,9,H24),"")</f>
        <v/>
      </c>
    </row>
    <row r="589" spans="10:11" x14ac:dyDescent="0.25">
      <c r="J589" t="s">
        <v>108</v>
      </c>
      <c r="K589" t="str">
        <f>IF(H25&gt;0,REPLACE(J589,8,9,H25),"")</f>
        <v/>
      </c>
    </row>
    <row r="590" spans="10:11" x14ac:dyDescent="0.25">
      <c r="J590" t="s">
        <v>109</v>
      </c>
      <c r="K590" t="str">
        <f>IF(H26&gt;0,REPLACE(J590,8,9,H26),"")</f>
        <v/>
      </c>
    </row>
    <row r="591" spans="10:11" x14ac:dyDescent="0.25">
      <c r="J591" t="s">
        <v>110</v>
      </c>
      <c r="K591" t="str">
        <f>IF(H27&gt;0,REPLACE(J591,8,9,H27),"")</f>
        <v/>
      </c>
    </row>
    <row r="592" spans="10:11" x14ac:dyDescent="0.25">
      <c r="J592" t="s">
        <v>111</v>
      </c>
      <c r="K592" t="str">
        <f>IF(H28&gt;0,REPLACE(J592,8,9,H28),"")</f>
        <v/>
      </c>
    </row>
    <row r="593" spans="10:11" x14ac:dyDescent="0.25">
      <c r="J593" t="s">
        <v>112</v>
      </c>
      <c r="K593" t="str">
        <f>IF(H29&gt;0,REPLACE(J593,8,9,H29),"")</f>
        <v/>
      </c>
    </row>
    <row r="594" spans="10:11" x14ac:dyDescent="0.25">
      <c r="J594" t="s">
        <v>113</v>
      </c>
      <c r="K594" t="str">
        <f>IF(H30&gt;0,REPLACE(J594,8,9,H30),"")</f>
        <v/>
      </c>
    </row>
    <row r="595" spans="10:11" x14ac:dyDescent="0.25">
      <c r="J595" t="s">
        <v>114</v>
      </c>
      <c r="K595" t="str">
        <f>IF(H31&gt;0,REPLACE(J595,8,9,H31),"")</f>
        <v/>
      </c>
    </row>
    <row r="596" spans="10:11" x14ac:dyDescent="0.25">
      <c r="J596" t="s">
        <v>115</v>
      </c>
      <c r="K596" t="str">
        <f>IF(H32&gt;0,REPLACE(J596,8,9,H32),"")</f>
        <v/>
      </c>
    </row>
    <row r="597" spans="10:11" x14ac:dyDescent="0.25">
      <c r="J597" t="s">
        <v>116</v>
      </c>
      <c r="K597" t="str">
        <f>IF(H33&gt;0,REPLACE(J597,8,9,H33),"")</f>
        <v/>
      </c>
    </row>
    <row r="598" spans="10:11" x14ac:dyDescent="0.25">
      <c r="J598" t="s">
        <v>160</v>
      </c>
      <c r="K598" t="str">
        <f>IF(H34&gt;0,REPLACE(J598,8,9,H34),"")</f>
        <v/>
      </c>
    </row>
    <row r="599" spans="10:11" x14ac:dyDescent="0.25">
      <c r="J599" t="s">
        <v>161</v>
      </c>
      <c r="K599" t="str">
        <f>IF(H35&gt;0,REPLACE(J599,8,9,H35),"")</f>
        <v/>
      </c>
    </row>
    <row r="600" spans="10:11" x14ac:dyDescent="0.25">
      <c r="J600" t="s">
        <v>162</v>
      </c>
      <c r="K600" t="str">
        <f>IF(H36&gt;0,REPLACE(J600,8,9,H36),"")</f>
        <v/>
      </c>
    </row>
    <row r="601" spans="10:11" x14ac:dyDescent="0.25">
      <c r="J601" t="s">
        <v>163</v>
      </c>
      <c r="K601" t="str">
        <f>IF(H37&gt;0,REPLACE(J601,8,9,H37),"")</f>
        <v/>
      </c>
    </row>
    <row r="602" spans="10:11" x14ac:dyDescent="0.25">
      <c r="J602" t="s">
        <v>164</v>
      </c>
      <c r="K602" t="str">
        <f>IF(H38&gt;0,REPLACE(J602,8,9,H38),"")</f>
        <v/>
      </c>
    </row>
    <row r="603" spans="10:11" x14ac:dyDescent="0.25">
      <c r="J603" t="s">
        <v>165</v>
      </c>
      <c r="K603" t="str">
        <f>IF(H39&gt;0,REPLACE(J603,8,9,H39),"")</f>
        <v/>
      </c>
    </row>
    <row r="604" spans="10:11" x14ac:dyDescent="0.25">
      <c r="J604" t="s">
        <v>166</v>
      </c>
      <c r="K604" t="str">
        <f>IF(H40&gt;0,REPLACE(J604,8,9,H40),"")</f>
        <v/>
      </c>
    </row>
    <row r="605" spans="10:11" x14ac:dyDescent="0.25">
      <c r="J605" t="s">
        <v>167</v>
      </c>
      <c r="K605" t="str">
        <f>IF(H41&gt;0,REPLACE(J605,8,9,H41),"")</f>
        <v/>
      </c>
    </row>
    <row r="606" spans="10:11" x14ac:dyDescent="0.25">
      <c r="J606" t="s">
        <v>168</v>
      </c>
      <c r="K606" t="str">
        <f>IF(H42&gt;0,REPLACE(J606,8,9,H42),"")</f>
        <v/>
      </c>
    </row>
    <row r="607" spans="10:11" x14ac:dyDescent="0.25">
      <c r="J607" t="s">
        <v>169</v>
      </c>
      <c r="K607" t="str">
        <f>IF(H43&gt;0,REPLACE(J607,8,9,H43),"")</f>
        <v/>
      </c>
    </row>
    <row r="609" spans="10:11" x14ac:dyDescent="0.25">
      <c r="J609" t="s">
        <v>69</v>
      </c>
      <c r="K609" t="s">
        <v>69</v>
      </c>
    </row>
    <row r="611" spans="10:11" x14ac:dyDescent="0.25">
      <c r="J611" t="s">
        <v>70</v>
      </c>
      <c r="K611" t="s">
        <v>70</v>
      </c>
    </row>
    <row r="613" spans="10:11" x14ac:dyDescent="0.25">
      <c r="J613" t="s">
        <v>71</v>
      </c>
      <c r="K613" t="str">
        <f>REPLACE(J613,FIND("ABC",J613,1),3,I2)</f>
        <v>&lt;strong&gt;13. ABC Market: Research Methodology&lt;/strong&gt;</v>
      </c>
    </row>
    <row r="615" spans="10:11" x14ac:dyDescent="0.25">
      <c r="J615" t="s">
        <v>72</v>
      </c>
      <c r="K615" t="s">
        <v>72</v>
      </c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6" customFormat="1" x14ac:dyDescent="0.25"/>
    <row r="938" customFormat="1" x14ac:dyDescent="0.25"/>
    <row r="940" customFormat="1" x14ac:dyDescent="0.25"/>
    <row r="942" customFormat="1" x14ac:dyDescent="0.25"/>
  </sheetData>
  <conditionalFormatting sqref="J113:J118">
    <cfRule type="uniqueValues" dxfId="3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42"/>
  <sheetViews>
    <sheetView workbookViewId="0">
      <selection activeCell="I4" sqref="I4"/>
    </sheetView>
  </sheetViews>
  <sheetFormatPr defaultRowHeight="15" x14ac:dyDescent="0.25"/>
  <cols>
    <col min="1" max="1" width="11.140625" customWidth="1"/>
    <col min="2" max="2" width="17.7109375" customWidth="1"/>
    <col min="3" max="3" width="15.140625" customWidth="1"/>
    <col min="4" max="4" width="16.7109375" customWidth="1"/>
    <col min="5" max="5" width="12.85546875" customWidth="1"/>
    <col min="6" max="7" width="17.28515625" customWidth="1"/>
    <col min="8" max="8" width="14.140625" customWidth="1"/>
    <col min="9" max="9" width="15.5703125" customWidth="1"/>
  </cols>
  <sheetData>
    <row r="1" spans="1:11" x14ac:dyDescent="0.2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/>
      <c r="G1" s="1"/>
      <c r="H1" s="1" t="s">
        <v>79</v>
      </c>
      <c r="I1" s="1" t="s">
        <v>122</v>
      </c>
    </row>
    <row r="2" spans="1:11" x14ac:dyDescent="0.25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I2" s="2" t="s">
        <v>159</v>
      </c>
      <c r="J2" t="s">
        <v>0</v>
      </c>
      <c r="K2" t="str">
        <f>REPLACE(J2,FIND("ABC",J2,1),3,I2)</f>
        <v>&lt;strong&gt;1. ABC Market Introduction&lt;/strong&gt;</v>
      </c>
    </row>
    <row r="3" spans="1:11" x14ac:dyDescent="0.25">
      <c r="A3" s="3"/>
      <c r="B3" s="3"/>
      <c r="C3" s="3"/>
      <c r="D3" s="3"/>
      <c r="E3" s="3"/>
      <c r="J3" t="s">
        <v>1</v>
      </c>
      <c r="K3" t="s">
        <v>1</v>
      </c>
    </row>
    <row r="4" spans="1:11" x14ac:dyDescent="0.25">
      <c r="A4" s="2"/>
      <c r="B4" s="2"/>
      <c r="C4" s="2"/>
      <c r="D4" s="2"/>
      <c r="E4" s="2"/>
      <c r="H4" s="2" t="s">
        <v>86</v>
      </c>
      <c r="J4" t="s">
        <v>2</v>
      </c>
      <c r="K4" t="s">
        <v>2</v>
      </c>
    </row>
    <row r="5" spans="1:11" x14ac:dyDescent="0.25">
      <c r="A5" s="2"/>
      <c r="B5" s="2"/>
      <c r="C5" s="2"/>
      <c r="D5" s="2"/>
      <c r="E5" s="2"/>
      <c r="H5" s="2"/>
      <c r="J5" t="s">
        <v>3</v>
      </c>
      <c r="K5" t="s">
        <v>3</v>
      </c>
    </row>
    <row r="6" spans="1:11" x14ac:dyDescent="0.25">
      <c r="A6" s="2"/>
      <c r="B6" s="2"/>
      <c r="C6" s="2"/>
      <c r="D6" s="2"/>
      <c r="E6" s="2"/>
      <c r="H6" s="2"/>
    </row>
    <row r="7" spans="1:11" x14ac:dyDescent="0.25">
      <c r="A7" s="2"/>
      <c r="B7" s="2"/>
      <c r="C7" s="2"/>
      <c r="D7" s="2"/>
      <c r="E7" s="2"/>
      <c r="H7" s="2"/>
      <c r="J7" t="s">
        <v>189</v>
      </c>
      <c r="K7" t="str">
        <f>REPLACE(J7,FIND("ABC",J7,1),3,$I$2)</f>
        <v>&lt;strong&gt;2. Global ABC Market: Competitive Landscape&lt;/strong&gt;</v>
      </c>
    </row>
    <row r="8" spans="1:11" x14ac:dyDescent="0.25">
      <c r="A8" s="2"/>
      <c r="B8" s="2"/>
      <c r="C8" s="2"/>
      <c r="D8" s="2"/>
      <c r="E8" s="2"/>
      <c r="H8" s="2"/>
      <c r="J8" t="s">
        <v>187</v>
      </c>
      <c r="K8" t="str">
        <f t="shared" ref="K8:K15" si="0">J8</f>
        <v>2.1. MMR Competition Matrix</v>
      </c>
    </row>
    <row r="9" spans="1:11" x14ac:dyDescent="0.25">
      <c r="A9" s="2"/>
      <c r="B9" s="2"/>
      <c r="C9" s="2"/>
      <c r="D9" s="2"/>
      <c r="E9" s="2"/>
      <c r="H9" s="2"/>
      <c r="J9" t="s">
        <v>188</v>
      </c>
      <c r="K9" t="str">
        <f t="shared" si="0"/>
        <v>2.2. Competitive Landscape</v>
      </c>
    </row>
    <row r="10" spans="1:11" x14ac:dyDescent="0.25">
      <c r="A10" s="2"/>
      <c r="B10" s="2"/>
      <c r="C10" s="2"/>
      <c r="D10" s="2"/>
      <c r="E10" s="2"/>
      <c r="H10" s="2"/>
      <c r="J10" t="s">
        <v>383</v>
      </c>
      <c r="K10" t="str">
        <f t="shared" si="0"/>
        <v>2.3. Key Players Benchmarking</v>
      </c>
    </row>
    <row r="11" spans="1:11" x14ac:dyDescent="0.25">
      <c r="A11" s="2"/>
      <c r="B11" s="2"/>
      <c r="C11" s="2"/>
      <c r="D11" s="2"/>
      <c r="E11" s="2"/>
      <c r="H11" s="2"/>
      <c r="J11" t="s">
        <v>384</v>
      </c>
      <c r="K11" t="str">
        <f t="shared" si="0"/>
        <v>&lt;em&gt;2.3.1. Company Name&lt;/em&gt;</v>
      </c>
    </row>
    <row r="12" spans="1:11" x14ac:dyDescent="0.25">
      <c r="A12" s="2"/>
      <c r="B12" s="2"/>
      <c r="C12" s="2"/>
      <c r="D12" s="2"/>
      <c r="E12" s="2"/>
      <c r="H12" s="2"/>
      <c r="J12" t="s">
        <v>385</v>
      </c>
      <c r="K12" t="str">
        <f t="shared" si="0"/>
        <v>&lt;em&gt;2.3.2. Business Segment&lt;/em&gt;</v>
      </c>
    </row>
    <row r="13" spans="1:11" x14ac:dyDescent="0.25">
      <c r="A13" s="2"/>
      <c r="B13" s="2"/>
      <c r="C13" s="2"/>
      <c r="D13" s="2"/>
      <c r="E13" s="2"/>
      <c r="H13" s="2"/>
      <c r="J13" t="s">
        <v>386</v>
      </c>
      <c r="K13" t="str">
        <f t="shared" si="0"/>
        <v>&lt;em&gt;2.3.3. End-user Segment&lt;/em&gt;</v>
      </c>
    </row>
    <row r="14" spans="1:11" x14ac:dyDescent="0.25">
      <c r="A14" s="2"/>
      <c r="B14" s="2"/>
      <c r="C14" s="2"/>
      <c r="D14" s="2"/>
      <c r="E14" s="2"/>
      <c r="H14" s="2"/>
      <c r="J14" t="s">
        <v>817</v>
      </c>
      <c r="K14" t="str">
        <f t="shared" si="0"/>
        <v>&lt;em&gt;2.3.4. Revenue (2024)&lt;/em&gt;</v>
      </c>
    </row>
    <row r="15" spans="1:11" x14ac:dyDescent="0.25">
      <c r="A15" s="2"/>
      <c r="B15" s="2"/>
      <c r="C15" s="2"/>
      <c r="D15" s="2"/>
      <c r="E15" s="2"/>
      <c r="H15" s="2"/>
      <c r="J15" t="s">
        <v>387</v>
      </c>
      <c r="K15" t="str">
        <f t="shared" si="0"/>
        <v>&lt;em&gt;2.3.5. Company Locations&lt;/em&gt;</v>
      </c>
    </row>
    <row r="16" spans="1:11" x14ac:dyDescent="0.25">
      <c r="A16" s="2"/>
      <c r="B16" s="2"/>
      <c r="C16" s="2"/>
      <c r="D16" s="2"/>
      <c r="E16" s="2"/>
      <c r="H16" s="2"/>
      <c r="J16" t="s">
        <v>388</v>
      </c>
      <c r="K16" t="str">
        <f>REPLACE(J16,FIND("ABC",J16,1),3,$I$2)</f>
        <v>2.4. Leading ABC Market Companies, by market capitalization</v>
      </c>
    </row>
    <row r="17" spans="1:11" x14ac:dyDescent="0.25">
      <c r="A17" s="2"/>
      <c r="B17" s="2"/>
      <c r="C17" s="2"/>
      <c r="D17" s="2"/>
      <c r="E17" s="2"/>
      <c r="H17" s="2"/>
      <c r="J17" t="s">
        <v>389</v>
      </c>
      <c r="K17" t="str">
        <f>J17</f>
        <v>2.5. Market Structure</v>
      </c>
    </row>
    <row r="18" spans="1:11" x14ac:dyDescent="0.25">
      <c r="A18" s="2"/>
      <c r="B18" s="2"/>
      <c r="C18" s="2"/>
      <c r="D18" s="2"/>
      <c r="E18" s="2"/>
      <c r="H18" s="2"/>
      <c r="J18" t="s">
        <v>390</v>
      </c>
      <c r="K18" t="str">
        <f>J18</f>
        <v>&lt;em&gt;2.5.1. Market Leaders&lt;/em&gt;</v>
      </c>
    </row>
    <row r="19" spans="1:11" x14ac:dyDescent="0.25">
      <c r="H19" s="2"/>
      <c r="J19" t="s">
        <v>391</v>
      </c>
      <c r="K19" t="str">
        <f>J19</f>
        <v>&lt;em&gt;2.5.2. Market Followers&lt;/em&gt;</v>
      </c>
    </row>
    <row r="20" spans="1:11" x14ac:dyDescent="0.25">
      <c r="H20" s="2"/>
      <c r="J20" t="s">
        <v>392</v>
      </c>
      <c r="K20" t="str">
        <f>J20</f>
        <v>&lt;em&gt;2.5.3. Emerging Players&lt;/em&gt;</v>
      </c>
    </row>
    <row r="21" spans="1:11" x14ac:dyDescent="0.25">
      <c r="H21" s="2"/>
      <c r="J21" t="s">
        <v>393</v>
      </c>
      <c r="K21" t="str">
        <f>J21</f>
        <v>2.6. Mergers and Acquisitions Details</v>
      </c>
    </row>
    <row r="22" spans="1:11" x14ac:dyDescent="0.25">
      <c r="H22" s="2"/>
    </row>
    <row r="23" spans="1:11" x14ac:dyDescent="0.25">
      <c r="H23" s="2"/>
      <c r="J23" t="s">
        <v>190</v>
      </c>
      <c r="K23" t="str">
        <f>REPLACE(J23,FIND("ABC",J23,1),3,$I$2)</f>
        <v>&lt;strong&gt;3. ABC Market: Dynamics&lt;/strong&gt;</v>
      </c>
    </row>
    <row r="24" spans="1:11" x14ac:dyDescent="0.25">
      <c r="H24" s="2"/>
      <c r="J24" t="s">
        <v>191</v>
      </c>
      <c r="K24" t="str">
        <f>REPLACE(J24,FIND("ABC",J24,1),3,$I$2)</f>
        <v>3.1. ABC Market Trends by Region</v>
      </c>
    </row>
    <row r="25" spans="1:11" x14ac:dyDescent="0.25">
      <c r="H25" s="2"/>
      <c r="J25" t="s">
        <v>192</v>
      </c>
      <c r="K25" t="str">
        <f>REPLACE(J25,FIND("ABC",J25,1),3,$I$2)</f>
        <v>&lt;em&gt;3.1.1. North America ABC Market Trends&lt;/em&gt;</v>
      </c>
    </row>
    <row r="26" spans="1:11" x14ac:dyDescent="0.25">
      <c r="H26" s="2"/>
      <c r="J26" t="s">
        <v>193</v>
      </c>
      <c r="K26" t="str">
        <f t="shared" ref="K26:K30" si="1">REPLACE(J26,FIND("ABC",J26,1),3,$I$2)</f>
        <v>&lt;em&gt;3.1.2. Europe ABC Market Trends&lt;/em&gt;</v>
      </c>
    </row>
    <row r="27" spans="1:11" x14ac:dyDescent="0.25">
      <c r="H27" s="2"/>
      <c r="J27" t="s">
        <v>194</v>
      </c>
      <c r="K27" t="str">
        <f t="shared" si="1"/>
        <v>&lt;em&gt;3.1.3. Asia Pacific ABC Market Trends&lt;/em&gt;</v>
      </c>
    </row>
    <row r="28" spans="1:11" x14ac:dyDescent="0.25">
      <c r="H28" s="2"/>
      <c r="J28" t="s">
        <v>195</v>
      </c>
      <c r="K28" t="str">
        <f t="shared" si="1"/>
        <v>&lt;em&gt;3.1.4. Middle East and Africa ABC Market Trends&lt;/em&gt;</v>
      </c>
    </row>
    <row r="29" spans="1:11" x14ac:dyDescent="0.25">
      <c r="H29" s="2"/>
      <c r="J29" t="s">
        <v>196</v>
      </c>
      <c r="K29" t="str">
        <f t="shared" si="1"/>
        <v>&lt;em&gt;3.1.5. South America ABC Market Trends&lt;/em&gt;</v>
      </c>
    </row>
    <row r="30" spans="1:11" x14ac:dyDescent="0.25">
      <c r="H30" s="2"/>
      <c r="J30" t="s">
        <v>197</v>
      </c>
      <c r="K30" t="str">
        <f t="shared" si="1"/>
        <v>3.2. ABC Market Dynamics by Region</v>
      </c>
    </row>
    <row r="31" spans="1:11" x14ac:dyDescent="0.25">
      <c r="H31" s="2"/>
      <c r="J31" t="s">
        <v>198</v>
      </c>
      <c r="K31" t="str">
        <f>J31</f>
        <v>&lt;em&gt;3.2.1. North America&lt;/em&gt;</v>
      </c>
    </row>
    <row r="32" spans="1:11" x14ac:dyDescent="0.25">
      <c r="H32" s="2"/>
      <c r="J32" t="s">
        <v>199</v>
      </c>
      <c r="K32" t="str">
        <f>REPLACE(J32,FIND("ABC",J32,1),3,$I$2)</f>
        <v>&lt;em&gt;3.2.1.1. North America ABC Market Drivers&lt;/em&gt;</v>
      </c>
    </row>
    <row r="33" spans="8:11" x14ac:dyDescent="0.25">
      <c r="H33" s="2"/>
      <c r="J33" t="s">
        <v>200</v>
      </c>
      <c r="K33" t="str">
        <f t="shared" ref="K33:K35" si="2">REPLACE(J33,FIND("ABC",J33,1),3,$I$2)</f>
        <v>&lt;em&gt;3.2.1.2. North America ABC Market Restraints&lt;/em&gt;</v>
      </c>
    </row>
    <row r="34" spans="8:11" x14ac:dyDescent="0.25">
      <c r="H34" s="2"/>
      <c r="J34" t="s">
        <v>201</v>
      </c>
      <c r="K34" t="str">
        <f t="shared" si="2"/>
        <v>&lt;em&gt;3.2.1.3. North America ABC Market Opportunities&lt;/em&gt;</v>
      </c>
    </row>
    <row r="35" spans="8:11" x14ac:dyDescent="0.25">
      <c r="H35" s="2"/>
      <c r="J35" t="s">
        <v>202</v>
      </c>
      <c r="K35" t="str">
        <f t="shared" si="2"/>
        <v>&lt;em&gt;3.2.1.4. North America ABC Market Challenges&lt;/em&gt;</v>
      </c>
    </row>
    <row r="36" spans="8:11" x14ac:dyDescent="0.25">
      <c r="H36" s="2"/>
      <c r="J36" t="s">
        <v>203</v>
      </c>
      <c r="K36" t="str">
        <f>J36</f>
        <v>&lt;em&gt;3.2.2. Europe&lt;/em&gt;</v>
      </c>
    </row>
    <row r="37" spans="8:11" x14ac:dyDescent="0.25">
      <c r="H37" s="2"/>
      <c r="J37" t="s">
        <v>204</v>
      </c>
      <c r="K37" t="str">
        <f>REPLACE(J37,FIND("ABC",J37,1),3,$I$2)</f>
        <v>&lt;em&gt;3.2.2.1. Europe ABC Market Drivers&lt;/em&gt;</v>
      </c>
    </row>
    <row r="38" spans="8:11" x14ac:dyDescent="0.25">
      <c r="H38" s="2"/>
      <c r="J38" t="s">
        <v>205</v>
      </c>
      <c r="K38" t="str">
        <f t="shared" ref="K38:K55" si="3">REPLACE(J38,FIND("ABC",J38,1),3,$I$2)</f>
        <v>&lt;em&gt;3.2.2.2. Europe ABC Market Restraints&lt;/em&gt;</v>
      </c>
    </row>
    <row r="39" spans="8:11" x14ac:dyDescent="0.25">
      <c r="H39" s="2"/>
      <c r="J39" t="s">
        <v>206</v>
      </c>
      <c r="K39" t="str">
        <f t="shared" si="3"/>
        <v>&lt;em&gt;3.2.2.3. Europe ABC Market Opportunities&lt;/em&gt;</v>
      </c>
    </row>
    <row r="40" spans="8:11" x14ac:dyDescent="0.25">
      <c r="H40" s="2"/>
      <c r="J40" t="s">
        <v>207</v>
      </c>
      <c r="K40" t="str">
        <f t="shared" si="3"/>
        <v>&lt;em&gt;3.2.2.4. Europe ABC Market Challenges&lt;/em&gt;</v>
      </c>
    </row>
    <row r="41" spans="8:11" x14ac:dyDescent="0.25">
      <c r="H41" s="2"/>
      <c r="J41" t="s">
        <v>208</v>
      </c>
      <c r="K41" t="str">
        <f>J41</f>
        <v>&lt;em&gt;3.2.3. Asia Pacific&lt;/em&gt;</v>
      </c>
    </row>
    <row r="42" spans="8:11" x14ac:dyDescent="0.25">
      <c r="H42" s="2"/>
      <c r="J42" t="s">
        <v>209</v>
      </c>
      <c r="K42" t="str">
        <f t="shared" si="3"/>
        <v>&lt;em&gt;3.2.3.1. Asia Pacific ABC Market Drivers&lt;/em&gt;</v>
      </c>
    </row>
    <row r="43" spans="8:11" x14ac:dyDescent="0.25">
      <c r="H43" s="2"/>
      <c r="J43" t="s">
        <v>210</v>
      </c>
      <c r="K43" t="str">
        <f t="shared" si="3"/>
        <v>&lt;em&gt;3.2.3.2. Asia Pacific ABC Market Restraints&lt;/em&gt;</v>
      </c>
    </row>
    <row r="44" spans="8:11" x14ac:dyDescent="0.25">
      <c r="J44" t="s">
        <v>211</v>
      </c>
      <c r="K44" t="str">
        <f t="shared" si="3"/>
        <v>&lt;em&gt;3.2.3.3. Asia Pacific ABC Market Opportunities&lt;/em&gt;</v>
      </c>
    </row>
    <row r="45" spans="8:11" x14ac:dyDescent="0.25">
      <c r="J45" t="s">
        <v>212</v>
      </c>
      <c r="K45" t="str">
        <f t="shared" si="3"/>
        <v>&lt;em&gt;3.2.3.4. Asia Pacific ABC Market Challenges&lt;/em&gt;</v>
      </c>
    </row>
    <row r="46" spans="8:11" x14ac:dyDescent="0.25">
      <c r="J46" t="s">
        <v>213</v>
      </c>
      <c r="K46" t="str">
        <f>J46</f>
        <v>&lt;em&gt;3.2.4. Middle East and Africa&lt;/em&gt;</v>
      </c>
    </row>
    <row r="47" spans="8:11" x14ac:dyDescent="0.25">
      <c r="J47" t="s">
        <v>214</v>
      </c>
      <c r="K47" t="str">
        <f t="shared" si="3"/>
        <v>&lt;em&gt;3.2.4.1. Middle East and Africa ABC Market Drivers&lt;/em&gt;</v>
      </c>
    </row>
    <row r="48" spans="8:11" x14ac:dyDescent="0.25">
      <c r="J48" t="s">
        <v>215</v>
      </c>
      <c r="K48" t="str">
        <f t="shared" si="3"/>
        <v>&lt;em&gt;3.2.4.2. Middle East and Africa ABC Market Restraints&lt;/em&gt;</v>
      </c>
    </row>
    <row r="49" spans="10:11" x14ac:dyDescent="0.25">
      <c r="J49" t="s">
        <v>216</v>
      </c>
      <c r="K49" t="str">
        <f t="shared" si="3"/>
        <v>&lt;em&gt;3.2.4.3. Middle East and Africa ABC Market Opportunities&lt;/em&gt;</v>
      </c>
    </row>
    <row r="50" spans="10:11" x14ac:dyDescent="0.25">
      <c r="J50" t="s">
        <v>217</v>
      </c>
      <c r="K50" t="str">
        <f t="shared" si="3"/>
        <v>&lt;em&gt;3.2.4.4. Middle East and Africa ABC Market Challenges&lt;/em&gt;</v>
      </c>
    </row>
    <row r="51" spans="10:11" x14ac:dyDescent="0.25">
      <c r="J51" t="s">
        <v>218</v>
      </c>
      <c r="K51" t="str">
        <f>J51</f>
        <v>&lt;em&gt;3.2.5. South America&lt;/em&gt;</v>
      </c>
    </row>
    <row r="52" spans="10:11" x14ac:dyDescent="0.25">
      <c r="J52" t="s">
        <v>219</v>
      </c>
      <c r="K52" t="str">
        <f t="shared" si="3"/>
        <v>&lt;em&gt;3.2.5.1. South America ABC Market Drivers&lt;/em&gt;</v>
      </c>
    </row>
    <row r="53" spans="10:11" x14ac:dyDescent="0.25">
      <c r="J53" t="s">
        <v>220</v>
      </c>
      <c r="K53" t="str">
        <f t="shared" si="3"/>
        <v>&lt;em&gt;3.2.5.2. South America ABC Market Restraints&lt;/em&gt;</v>
      </c>
    </row>
    <row r="54" spans="10:11" x14ac:dyDescent="0.25">
      <c r="J54" t="s">
        <v>221</v>
      </c>
      <c r="K54" t="str">
        <f t="shared" si="3"/>
        <v>&lt;em&gt;3.2.5.3. South America ABC Market Opportunities&lt;/em&gt;</v>
      </c>
    </row>
    <row r="55" spans="10:11" x14ac:dyDescent="0.25">
      <c r="J55" t="s">
        <v>222</v>
      </c>
      <c r="K55" t="str">
        <f t="shared" si="3"/>
        <v>&lt;em&gt;3.2.5.4. South America ABC Market Challenges&lt;/em&gt;</v>
      </c>
    </row>
    <row r="56" spans="10:11" x14ac:dyDescent="0.25">
      <c r="J56" t="s">
        <v>223</v>
      </c>
      <c r="K56" t="str">
        <f t="shared" ref="K56:K64" si="4">J56</f>
        <v>3.3. PORTER’s Five Forces Analysis</v>
      </c>
    </row>
    <row r="57" spans="10:11" x14ac:dyDescent="0.25">
      <c r="J57" t="s">
        <v>224</v>
      </c>
      <c r="K57" t="str">
        <f t="shared" si="4"/>
        <v>3.4. PESTLE Analysis</v>
      </c>
    </row>
    <row r="58" spans="10:11" x14ac:dyDescent="0.25">
      <c r="J58" t="s">
        <v>225</v>
      </c>
      <c r="K58" t="str">
        <f t="shared" si="4"/>
        <v>3.5. Technology Roadmap</v>
      </c>
    </row>
    <row r="59" spans="10:11" x14ac:dyDescent="0.25">
      <c r="J59" t="s">
        <v>226</v>
      </c>
      <c r="K59" t="str">
        <f t="shared" si="4"/>
        <v>3.6. Regulatory Landscape by Region</v>
      </c>
    </row>
    <row r="60" spans="10:11" x14ac:dyDescent="0.25">
      <c r="J60" t="s">
        <v>117</v>
      </c>
      <c r="K60" t="str">
        <f t="shared" si="4"/>
        <v>&lt;em&gt;3.6.1. North America&lt;/em&gt;</v>
      </c>
    </row>
    <row r="61" spans="10:11" x14ac:dyDescent="0.25">
      <c r="J61" t="s">
        <v>118</v>
      </c>
      <c r="K61" t="str">
        <f t="shared" si="4"/>
        <v>&lt;em&gt;3.6.2. Europe&lt;/em&gt;</v>
      </c>
    </row>
    <row r="62" spans="10:11" x14ac:dyDescent="0.25">
      <c r="J62" t="s">
        <v>119</v>
      </c>
      <c r="K62" t="str">
        <f t="shared" si="4"/>
        <v>&lt;em&gt;3.6.3. Asia Pacific&lt;/em&gt;</v>
      </c>
    </row>
    <row r="63" spans="10:11" x14ac:dyDescent="0.25">
      <c r="J63" t="s">
        <v>120</v>
      </c>
      <c r="K63" t="str">
        <f t="shared" si="4"/>
        <v>&lt;em&gt;3.6.4. Middle East and Africa&lt;/em&gt;</v>
      </c>
    </row>
    <row r="64" spans="10:11" x14ac:dyDescent="0.25">
      <c r="J64" t="s">
        <v>121</v>
      </c>
      <c r="K64" t="str">
        <f t="shared" si="4"/>
        <v>&lt;em&gt;3.6.5. South America&lt;/em&gt;</v>
      </c>
    </row>
    <row r="65" spans="10:11" x14ac:dyDescent="0.25">
      <c r="J65" t="s">
        <v>227</v>
      </c>
      <c r="K65" t="str">
        <f>REPLACE(J65,FIND("ABC",J65,1),3,$I$2)</f>
        <v>3.7. Key Opinion Leader Analysis For ABC Industry</v>
      </c>
    </row>
    <row r="66" spans="10:11" x14ac:dyDescent="0.25">
      <c r="J66" t="s">
        <v>228</v>
      </c>
      <c r="K66" t="str">
        <f>REPLACE(J66,FIND("ABC",J66,1),3,$I$2)</f>
        <v>3.8. Analysis of Government Schemes and Initiatives For ABC Industry</v>
      </c>
    </row>
    <row r="67" spans="10:11" x14ac:dyDescent="0.25">
      <c r="J67" t="s">
        <v>229</v>
      </c>
      <c r="K67" t="str">
        <f>REPLACE(J67,FIND("ABC",J67,1),3,$I$2)</f>
        <v>3.9. ABC Market Trade Analysis</v>
      </c>
    </row>
    <row r="68" spans="10:11" x14ac:dyDescent="0.25">
      <c r="J68" t="s">
        <v>230</v>
      </c>
      <c r="K68" t="str">
        <f>REPLACE(J68,FIND("ABC",J68,1),3,$I$2)</f>
        <v>3.10. The Global Pandemic Impact on ABC Market</v>
      </c>
    </row>
    <row r="70" spans="10:11" x14ac:dyDescent="0.25">
      <c r="J70" t="s">
        <v>818</v>
      </c>
      <c r="K70" t="str">
        <f>REPLACE(J70,FIND("ABC",J70,1),3,$I$2)</f>
        <v>&lt;strong&gt;4. ABC Market: Global Market Size and Forecast by Segmentation by Demand and Supply Side (by Value in USD Million) 2024-2032&lt;/strong&gt;</v>
      </c>
    </row>
    <row r="71" spans="10:11" x14ac:dyDescent="0.25">
      <c r="J71" t="s">
        <v>819</v>
      </c>
      <c r="K71" t="str">
        <f>REPLACE(IF(A2&gt;0,REPLACE(J71,39,8,A2),""),6,3,I2)</f>
        <v>4.1. ABC Market Size and Forecast, by AA (2024-2032)</v>
      </c>
    </row>
    <row r="72" spans="10:11" x14ac:dyDescent="0.25">
      <c r="J72" t="s">
        <v>4</v>
      </c>
      <c r="K72" t="str">
        <f t="shared" ref="K72:K80" si="5">IF(A4&gt;0,REPLACE(J72,12,3,A4),"")</f>
        <v/>
      </c>
    </row>
    <row r="73" spans="10:11" x14ac:dyDescent="0.25">
      <c r="J73" t="s">
        <v>5</v>
      </c>
      <c r="K73" t="str">
        <f t="shared" si="5"/>
        <v/>
      </c>
    </row>
    <row r="74" spans="10:11" x14ac:dyDescent="0.25">
      <c r="J74" t="s">
        <v>6</v>
      </c>
      <c r="K74" t="str">
        <f t="shared" si="5"/>
        <v/>
      </c>
    </row>
    <row r="75" spans="10:11" x14ac:dyDescent="0.25">
      <c r="J75" t="s">
        <v>7</v>
      </c>
      <c r="K75" t="str">
        <f t="shared" si="5"/>
        <v/>
      </c>
    </row>
    <row r="76" spans="10:11" x14ac:dyDescent="0.25">
      <c r="J76" t="s">
        <v>8</v>
      </c>
      <c r="K76" t="str">
        <f t="shared" si="5"/>
        <v/>
      </c>
    </row>
    <row r="77" spans="10:11" x14ac:dyDescent="0.25">
      <c r="J77" t="s">
        <v>9</v>
      </c>
      <c r="K77" t="str">
        <f t="shared" si="5"/>
        <v/>
      </c>
    </row>
    <row r="78" spans="10:11" x14ac:dyDescent="0.25">
      <c r="J78" t="s">
        <v>10</v>
      </c>
      <c r="K78" t="str">
        <f t="shared" si="5"/>
        <v/>
      </c>
    </row>
    <row r="79" spans="10:11" x14ac:dyDescent="0.25">
      <c r="J79" t="s">
        <v>11</v>
      </c>
      <c r="K79" t="str">
        <f t="shared" si="5"/>
        <v/>
      </c>
    </row>
    <row r="80" spans="10:11" x14ac:dyDescent="0.25">
      <c r="J80" t="s">
        <v>12</v>
      </c>
      <c r="K80" t="str">
        <f t="shared" si="5"/>
        <v/>
      </c>
    </row>
    <row r="81" spans="10:11" x14ac:dyDescent="0.25">
      <c r="J81" t="s">
        <v>123</v>
      </c>
      <c r="K81" t="str">
        <f t="shared" ref="K81:K86" si="6">IF(A13&gt;0,REPLACE(J81,13,4,A13),"")</f>
        <v/>
      </c>
    </row>
    <row r="82" spans="10:11" x14ac:dyDescent="0.25">
      <c r="J82" t="s">
        <v>124</v>
      </c>
      <c r="K82" t="str">
        <f t="shared" si="6"/>
        <v/>
      </c>
    </row>
    <row r="83" spans="10:11" x14ac:dyDescent="0.25">
      <c r="J83" t="s">
        <v>125</v>
      </c>
      <c r="K83" t="str">
        <f t="shared" si="6"/>
        <v/>
      </c>
    </row>
    <row r="84" spans="10:11" x14ac:dyDescent="0.25">
      <c r="J84" t="s">
        <v>126</v>
      </c>
      <c r="K84" t="str">
        <f t="shared" si="6"/>
        <v/>
      </c>
    </row>
    <row r="85" spans="10:11" x14ac:dyDescent="0.25">
      <c r="J85" t="s">
        <v>127</v>
      </c>
      <c r="K85" t="str">
        <f t="shared" si="6"/>
        <v/>
      </c>
    </row>
    <row r="86" spans="10:11" x14ac:dyDescent="0.25">
      <c r="J86" t="s">
        <v>128</v>
      </c>
      <c r="K86" t="str">
        <f t="shared" si="6"/>
        <v/>
      </c>
    </row>
    <row r="87" spans="10:11" x14ac:dyDescent="0.25">
      <c r="J87" t="s">
        <v>820</v>
      </c>
      <c r="K87" t="str">
        <f>REPLACE(IF(B2&gt;0,REPLACE(J87,39,8,B2),""),6,3,I2)</f>
        <v>4.2. ABC Market Size and Forecast, by BB (2024-2032)</v>
      </c>
    </row>
    <row r="88" spans="10:11" x14ac:dyDescent="0.25">
      <c r="J88" t="s">
        <v>13</v>
      </c>
      <c r="K88" t="str">
        <f t="shared" ref="K88:K96" si="7">IF(B4&gt;0,REPLACE(J88,12,3,B4),"")</f>
        <v/>
      </c>
    </row>
    <row r="89" spans="10:11" x14ac:dyDescent="0.25">
      <c r="J89" t="s">
        <v>14</v>
      </c>
      <c r="K89" t="str">
        <f t="shared" si="7"/>
        <v/>
      </c>
    </row>
    <row r="90" spans="10:11" x14ac:dyDescent="0.25">
      <c r="J90" t="s">
        <v>15</v>
      </c>
      <c r="K90" t="str">
        <f t="shared" si="7"/>
        <v/>
      </c>
    </row>
    <row r="91" spans="10:11" x14ac:dyDescent="0.25">
      <c r="J91" t="s">
        <v>16</v>
      </c>
      <c r="K91" t="str">
        <f t="shared" si="7"/>
        <v/>
      </c>
    </row>
    <row r="92" spans="10:11" x14ac:dyDescent="0.25">
      <c r="J92" t="s">
        <v>17</v>
      </c>
      <c r="K92" t="str">
        <f t="shared" si="7"/>
        <v/>
      </c>
    </row>
    <row r="93" spans="10:11" x14ac:dyDescent="0.25">
      <c r="J93" t="s">
        <v>18</v>
      </c>
      <c r="K93" t="str">
        <f t="shared" si="7"/>
        <v/>
      </c>
    </row>
    <row r="94" spans="10:11" x14ac:dyDescent="0.25">
      <c r="J94" t="s">
        <v>19</v>
      </c>
      <c r="K94" t="str">
        <f t="shared" si="7"/>
        <v/>
      </c>
    </row>
    <row r="95" spans="10:11" x14ac:dyDescent="0.25">
      <c r="J95" t="s">
        <v>20</v>
      </c>
      <c r="K95" t="str">
        <f t="shared" si="7"/>
        <v/>
      </c>
    </row>
    <row r="96" spans="10:11" x14ac:dyDescent="0.25">
      <c r="J96" t="s">
        <v>21</v>
      </c>
      <c r="K96" t="str">
        <f t="shared" si="7"/>
        <v/>
      </c>
    </row>
    <row r="97" spans="10:11" x14ac:dyDescent="0.25">
      <c r="J97" t="s">
        <v>129</v>
      </c>
      <c r="K97" t="str">
        <f t="shared" ref="K97:K102" si="8">IF(B13&gt;0,REPLACE(J97,13,4,B13),"")</f>
        <v/>
      </c>
    </row>
    <row r="98" spans="10:11" x14ac:dyDescent="0.25">
      <c r="J98" t="s">
        <v>130</v>
      </c>
      <c r="K98" t="str">
        <f t="shared" si="8"/>
        <v/>
      </c>
    </row>
    <row r="99" spans="10:11" x14ac:dyDescent="0.25">
      <c r="J99" t="s">
        <v>131</v>
      </c>
      <c r="K99" t="str">
        <f t="shared" si="8"/>
        <v/>
      </c>
    </row>
    <row r="100" spans="10:11" x14ac:dyDescent="0.25">
      <c r="J100" t="s">
        <v>132</v>
      </c>
      <c r="K100" t="str">
        <f t="shared" si="8"/>
        <v/>
      </c>
    </row>
    <row r="101" spans="10:11" x14ac:dyDescent="0.25">
      <c r="J101" t="s">
        <v>133</v>
      </c>
      <c r="K101" t="str">
        <f t="shared" si="8"/>
        <v/>
      </c>
    </row>
    <row r="102" spans="10:11" x14ac:dyDescent="0.25">
      <c r="J102" t="s">
        <v>134</v>
      </c>
      <c r="K102" t="str">
        <f t="shared" si="8"/>
        <v/>
      </c>
    </row>
    <row r="103" spans="10:11" x14ac:dyDescent="0.25">
      <c r="J103" t="s">
        <v>821</v>
      </c>
      <c r="K103" t="str">
        <f>REPLACE(IF(C2&gt;0,REPLACE(J103,39,8,C2),""),6,3,I2)</f>
        <v>4.3. ABC Market Size and Forecast, by CC (2024-2032)</v>
      </c>
    </row>
    <row r="104" spans="10:11" x14ac:dyDescent="0.25">
      <c r="J104" t="s">
        <v>22</v>
      </c>
      <c r="K104" t="str">
        <f t="shared" ref="K104:K112" si="9">IF(C4&gt;0,REPLACE(J104,12,3,C4),"")</f>
        <v/>
      </c>
    </row>
    <row r="105" spans="10:11" x14ac:dyDescent="0.25">
      <c r="J105" t="s">
        <v>23</v>
      </c>
      <c r="K105" t="str">
        <f t="shared" si="9"/>
        <v/>
      </c>
    </row>
    <row r="106" spans="10:11" x14ac:dyDescent="0.25">
      <c r="J106" t="s">
        <v>24</v>
      </c>
      <c r="K106" t="str">
        <f t="shared" si="9"/>
        <v/>
      </c>
    </row>
    <row r="107" spans="10:11" x14ac:dyDescent="0.25">
      <c r="J107" t="s">
        <v>25</v>
      </c>
      <c r="K107" t="str">
        <f t="shared" si="9"/>
        <v/>
      </c>
    </row>
    <row r="108" spans="10:11" x14ac:dyDescent="0.25">
      <c r="J108" t="s">
        <v>26</v>
      </c>
      <c r="K108" t="str">
        <f t="shared" si="9"/>
        <v/>
      </c>
    </row>
    <row r="109" spans="10:11" x14ac:dyDescent="0.25">
      <c r="J109" t="s">
        <v>27</v>
      </c>
      <c r="K109" t="str">
        <f t="shared" si="9"/>
        <v/>
      </c>
    </row>
    <row r="110" spans="10:11" x14ac:dyDescent="0.25">
      <c r="J110" t="s">
        <v>28</v>
      </c>
      <c r="K110" t="str">
        <f t="shared" si="9"/>
        <v/>
      </c>
    </row>
    <row r="111" spans="10:11" x14ac:dyDescent="0.25">
      <c r="J111" t="s">
        <v>29</v>
      </c>
      <c r="K111" t="str">
        <f t="shared" si="9"/>
        <v/>
      </c>
    </row>
    <row r="112" spans="10:11" x14ac:dyDescent="0.25">
      <c r="J112" t="s">
        <v>30</v>
      </c>
      <c r="K112" t="str">
        <f t="shared" si="9"/>
        <v/>
      </c>
    </row>
    <row r="113" spans="10:11" x14ac:dyDescent="0.25">
      <c r="J113" t="s">
        <v>135</v>
      </c>
      <c r="K113" t="str">
        <f t="shared" ref="K113:K118" si="10">IF(C13&gt;0,REPLACE(J113,13,4,C13),"")</f>
        <v/>
      </c>
    </row>
    <row r="114" spans="10:11" x14ac:dyDescent="0.25">
      <c r="J114" t="s">
        <v>136</v>
      </c>
      <c r="K114" t="str">
        <f t="shared" si="10"/>
        <v/>
      </c>
    </row>
    <row r="115" spans="10:11" x14ac:dyDescent="0.25">
      <c r="J115" t="s">
        <v>137</v>
      </c>
      <c r="K115" t="str">
        <f t="shared" si="10"/>
        <v/>
      </c>
    </row>
    <row r="116" spans="10:11" x14ac:dyDescent="0.25">
      <c r="J116" t="s">
        <v>138</v>
      </c>
      <c r="K116" t="str">
        <f t="shared" si="10"/>
        <v/>
      </c>
    </row>
    <row r="117" spans="10:11" x14ac:dyDescent="0.25">
      <c r="J117" t="s">
        <v>139</v>
      </c>
      <c r="K117" t="str">
        <f t="shared" si="10"/>
        <v/>
      </c>
    </row>
    <row r="118" spans="10:11" x14ac:dyDescent="0.25">
      <c r="J118" t="s">
        <v>140</v>
      </c>
      <c r="K118" t="str">
        <f t="shared" si="10"/>
        <v/>
      </c>
    </row>
    <row r="119" spans="10:11" ht="14.25" customHeight="1" x14ac:dyDescent="0.25">
      <c r="J119" t="s">
        <v>822</v>
      </c>
      <c r="K119" t="str">
        <f>REPLACE(IF(D2&gt;0,REPLACE(J119,39,8,D2),""),6,3,I2)</f>
        <v>4.4. ABC Market Size and Forecast, by DD (2024-2032)</v>
      </c>
    </row>
    <row r="120" spans="10:11" x14ac:dyDescent="0.25">
      <c r="J120" t="s">
        <v>31</v>
      </c>
      <c r="K120" t="str">
        <f t="shared" ref="K120:K128" si="11">IF(D4&gt;0,REPLACE(J120,12,3,D4),"")</f>
        <v/>
      </c>
    </row>
    <row r="121" spans="10:11" x14ac:dyDescent="0.25">
      <c r="J121" t="s">
        <v>32</v>
      </c>
      <c r="K121" t="str">
        <f t="shared" si="11"/>
        <v/>
      </c>
    </row>
    <row r="122" spans="10:11" x14ac:dyDescent="0.25">
      <c r="J122" t="s">
        <v>33</v>
      </c>
      <c r="K122" t="str">
        <f t="shared" si="11"/>
        <v/>
      </c>
    </row>
    <row r="123" spans="10:11" x14ac:dyDescent="0.25">
      <c r="J123" t="s">
        <v>34</v>
      </c>
      <c r="K123" t="str">
        <f t="shared" si="11"/>
        <v/>
      </c>
    </row>
    <row r="124" spans="10:11" x14ac:dyDescent="0.25">
      <c r="J124" t="s">
        <v>35</v>
      </c>
      <c r="K124" t="str">
        <f t="shared" si="11"/>
        <v/>
      </c>
    </row>
    <row r="125" spans="10:11" x14ac:dyDescent="0.25">
      <c r="J125" t="s">
        <v>36</v>
      </c>
      <c r="K125" t="str">
        <f t="shared" si="11"/>
        <v/>
      </c>
    </row>
    <row r="126" spans="10:11" x14ac:dyDescent="0.25">
      <c r="J126" t="s">
        <v>37</v>
      </c>
      <c r="K126" t="str">
        <f t="shared" si="11"/>
        <v/>
      </c>
    </row>
    <row r="127" spans="10:11" x14ac:dyDescent="0.25">
      <c r="J127" t="s">
        <v>38</v>
      </c>
      <c r="K127" t="str">
        <f t="shared" si="11"/>
        <v/>
      </c>
    </row>
    <row r="128" spans="10:11" x14ac:dyDescent="0.25">
      <c r="J128" t="s">
        <v>39</v>
      </c>
      <c r="K128" t="str">
        <f t="shared" si="11"/>
        <v/>
      </c>
    </row>
    <row r="129" spans="10:11" x14ac:dyDescent="0.25">
      <c r="J129" t="s">
        <v>141</v>
      </c>
      <c r="K129" t="str">
        <f t="shared" ref="K129:K134" si="12">IF(D13&gt;0,REPLACE(J129,13,4,D13),"")</f>
        <v/>
      </c>
    </row>
    <row r="130" spans="10:11" x14ac:dyDescent="0.25">
      <c r="J130" t="s">
        <v>142</v>
      </c>
      <c r="K130" t="str">
        <f t="shared" si="12"/>
        <v/>
      </c>
    </row>
    <row r="131" spans="10:11" x14ac:dyDescent="0.25">
      <c r="J131" t="s">
        <v>143</v>
      </c>
      <c r="K131" t="str">
        <f t="shared" si="12"/>
        <v/>
      </c>
    </row>
    <row r="132" spans="10:11" x14ac:dyDescent="0.25">
      <c r="J132" t="s">
        <v>144</v>
      </c>
      <c r="K132" t="str">
        <f t="shared" si="12"/>
        <v/>
      </c>
    </row>
    <row r="133" spans="10:11" x14ac:dyDescent="0.25">
      <c r="J133" t="s">
        <v>145</v>
      </c>
      <c r="K133" t="str">
        <f t="shared" si="12"/>
        <v/>
      </c>
    </row>
    <row r="134" spans="10:11" x14ac:dyDescent="0.25">
      <c r="J134" t="s">
        <v>146</v>
      </c>
      <c r="K134" t="str">
        <f t="shared" si="12"/>
        <v/>
      </c>
    </row>
    <row r="135" spans="10:11" x14ac:dyDescent="0.25">
      <c r="J135" t="s">
        <v>823</v>
      </c>
      <c r="K135" t="str">
        <f>REPLACE(IF(E2&gt;0,REPLACE(J135,39,8,E2),""),6,3,I2)</f>
        <v>4.5. ABC Market Size and Forecast, by EE (2024-2032)</v>
      </c>
    </row>
    <row r="136" spans="10:11" x14ac:dyDescent="0.25">
      <c r="J136" t="s">
        <v>40</v>
      </c>
      <c r="K136" t="str">
        <f t="shared" ref="K136:K144" si="13">IF(E4&gt;0,REPLACE(J136,12,3,E4),"")</f>
        <v/>
      </c>
    </row>
    <row r="137" spans="10:11" x14ac:dyDescent="0.25">
      <c r="J137" t="s">
        <v>41</v>
      </c>
      <c r="K137" t="str">
        <f t="shared" si="13"/>
        <v/>
      </c>
    </row>
    <row r="138" spans="10:11" x14ac:dyDescent="0.25">
      <c r="J138" t="s">
        <v>42</v>
      </c>
      <c r="K138" t="str">
        <f t="shared" si="13"/>
        <v/>
      </c>
    </row>
    <row r="139" spans="10:11" x14ac:dyDescent="0.25">
      <c r="J139" t="s">
        <v>43</v>
      </c>
      <c r="K139" t="str">
        <f t="shared" si="13"/>
        <v/>
      </c>
    </row>
    <row r="140" spans="10:11" x14ac:dyDescent="0.25">
      <c r="J140" t="s">
        <v>44</v>
      </c>
      <c r="K140" t="str">
        <f t="shared" si="13"/>
        <v/>
      </c>
    </row>
    <row r="141" spans="10:11" x14ac:dyDescent="0.25">
      <c r="J141" t="s">
        <v>45</v>
      </c>
      <c r="K141" t="str">
        <f t="shared" si="13"/>
        <v/>
      </c>
    </row>
    <row r="142" spans="10:11" x14ac:dyDescent="0.25">
      <c r="J142" t="s">
        <v>46</v>
      </c>
      <c r="K142" t="str">
        <f t="shared" si="13"/>
        <v/>
      </c>
    </row>
    <row r="143" spans="10:11" x14ac:dyDescent="0.25">
      <c r="J143" t="s">
        <v>47</v>
      </c>
      <c r="K143" t="str">
        <f t="shared" si="13"/>
        <v/>
      </c>
    </row>
    <row r="144" spans="10:11" x14ac:dyDescent="0.25">
      <c r="J144" t="s">
        <v>48</v>
      </c>
      <c r="K144" t="str">
        <f t="shared" si="13"/>
        <v/>
      </c>
    </row>
    <row r="145" spans="10:11" x14ac:dyDescent="0.25">
      <c r="J145" t="s">
        <v>147</v>
      </c>
      <c r="K145" t="str">
        <f t="shared" ref="K145:K150" si="14">IF(E13&gt;0,REPLACE(J145,13,4,E13),"")</f>
        <v/>
      </c>
    </row>
    <row r="146" spans="10:11" x14ac:dyDescent="0.25">
      <c r="J146" t="s">
        <v>148</v>
      </c>
      <c r="K146" t="str">
        <f t="shared" si="14"/>
        <v/>
      </c>
    </row>
    <row r="147" spans="10:11" x14ac:dyDescent="0.25">
      <c r="J147" t="s">
        <v>149</v>
      </c>
      <c r="K147" t="str">
        <f t="shared" si="14"/>
        <v/>
      </c>
    </row>
    <row r="148" spans="10:11" x14ac:dyDescent="0.25">
      <c r="J148" t="s">
        <v>150</v>
      </c>
      <c r="K148" t="str">
        <f t="shared" si="14"/>
        <v/>
      </c>
    </row>
    <row r="149" spans="10:11" x14ac:dyDescent="0.25">
      <c r="J149" t="s">
        <v>151</v>
      </c>
      <c r="K149" t="str">
        <f t="shared" si="14"/>
        <v/>
      </c>
    </row>
    <row r="150" spans="10:11" x14ac:dyDescent="0.25">
      <c r="J150" t="s">
        <v>152</v>
      </c>
      <c r="K150" t="str">
        <f t="shared" si="14"/>
        <v/>
      </c>
    </row>
    <row r="151" spans="10:11" x14ac:dyDescent="0.25">
      <c r="J151" t="s">
        <v>1545</v>
      </c>
      <c r="K151" t="str">
        <f>REPLACE(J151,6,3,I2)</f>
        <v>4.6. ABC Market Size and Forecast, by Region (2024-2032)</v>
      </c>
    </row>
    <row r="152" spans="10:11" x14ac:dyDescent="0.25">
      <c r="J152" t="s">
        <v>1546</v>
      </c>
      <c r="K152" t="str">
        <f>J152</f>
        <v>&lt;em&gt;4.6.1. North America&lt;/em&gt;</v>
      </c>
    </row>
    <row r="153" spans="10:11" x14ac:dyDescent="0.25">
      <c r="J153" t="s">
        <v>1547</v>
      </c>
      <c r="K153" t="str">
        <f>J153</f>
        <v>&lt;em&gt;4.6.2. Europe&lt;/em&gt;</v>
      </c>
    </row>
    <row r="154" spans="10:11" x14ac:dyDescent="0.25">
      <c r="J154" t="s">
        <v>1548</v>
      </c>
      <c r="K154" t="str">
        <f>J154</f>
        <v>&lt;em&gt;4.6.3. Asia Pacific&lt;/em&gt;</v>
      </c>
    </row>
    <row r="155" spans="10:11" x14ac:dyDescent="0.25">
      <c r="J155" t="s">
        <v>1549</v>
      </c>
      <c r="K155" t="str">
        <f>J155</f>
        <v>&lt;em&gt;4.6.4. Middle East and Africa&lt;/em&gt;</v>
      </c>
    </row>
    <row r="156" spans="10:11" x14ac:dyDescent="0.25">
      <c r="J156" t="s">
        <v>1550</v>
      </c>
      <c r="K156" t="str">
        <f>J156</f>
        <v>&lt;em&gt;4.6.5. South America&lt;/em&gt;</v>
      </c>
    </row>
    <row r="158" spans="10:11" x14ac:dyDescent="0.25">
      <c r="J158" t="s">
        <v>827</v>
      </c>
      <c r="K158" t="str">
        <f>REPLACE(J158,FIND("ABC",J158,1),3,I2)</f>
        <v>&lt;strong&gt;5. North America ABC Market Size and Forecast by Segmentation (by Value in USD Million) 2024-2032&lt;/strong&gt;</v>
      </c>
    </row>
    <row r="159" spans="10:11" x14ac:dyDescent="0.25">
      <c r="J159" t="s">
        <v>828</v>
      </c>
      <c r="K159" t="str">
        <f>REPLACE(IF(A2&gt;0,REPLACE(J159,53,8,A2),""),20,3,I2)</f>
        <v>5.1. North America ABC Market Size and Forecast, by AA (2024-2032)</v>
      </c>
    </row>
    <row r="160" spans="10:11" x14ac:dyDescent="0.25">
      <c r="J160" t="s">
        <v>236</v>
      </c>
      <c r="K160" t="str">
        <f>IF(A4&gt;0,REPLACE(J160,12,3,A4),"")</f>
        <v/>
      </c>
    </row>
    <row r="161" spans="10:11" x14ac:dyDescent="0.25">
      <c r="J161" t="s">
        <v>237</v>
      </c>
      <c r="K161" t="str">
        <f>IF(A5&gt;0,REPLACE(J161,12,3,A5),"")</f>
        <v/>
      </c>
    </row>
    <row r="162" spans="10:11" x14ac:dyDescent="0.25">
      <c r="J162" t="s">
        <v>238</v>
      </c>
      <c r="K162" t="str">
        <f>IF(A6&gt;0,REPLACE(J162,12,3,A6),"")</f>
        <v/>
      </c>
    </row>
    <row r="163" spans="10:11" x14ac:dyDescent="0.25">
      <c r="J163" t="s">
        <v>239</v>
      </c>
      <c r="K163" t="str">
        <f>IF(A7&gt;0,REPLACE(J163,12,3,A7),"")</f>
        <v/>
      </c>
    </row>
    <row r="164" spans="10:11" x14ac:dyDescent="0.25">
      <c r="J164" t="s">
        <v>240</v>
      </c>
      <c r="K164" t="str">
        <f>IF(A8&gt;0,REPLACE(J164,12,3,A8),"")</f>
        <v/>
      </c>
    </row>
    <row r="165" spans="10:11" x14ac:dyDescent="0.25">
      <c r="J165" t="s">
        <v>241</v>
      </c>
      <c r="K165" t="str">
        <f>IF(A9&gt;0,REPLACE(J165,12,3,A9),"")</f>
        <v/>
      </c>
    </row>
    <row r="166" spans="10:11" x14ac:dyDescent="0.25">
      <c r="J166" t="s">
        <v>242</v>
      </c>
      <c r="K166" t="str">
        <f>IF(A10&gt;0,REPLACE(J166,12,3,A10),"")</f>
        <v/>
      </c>
    </row>
    <row r="167" spans="10:11" x14ac:dyDescent="0.25">
      <c r="J167" t="s">
        <v>243</v>
      </c>
      <c r="K167" t="str">
        <f>IF(A11&gt;0,REPLACE(J167,12,3,A11),"")</f>
        <v/>
      </c>
    </row>
    <row r="168" spans="10:11" x14ac:dyDescent="0.25">
      <c r="J168" t="s">
        <v>244</v>
      </c>
      <c r="K168" t="str">
        <f>IF(A12&gt;0,REPLACE(J168,12,3,A12),"")</f>
        <v/>
      </c>
    </row>
    <row r="169" spans="10:11" x14ac:dyDescent="0.25">
      <c r="J169" t="s">
        <v>245</v>
      </c>
      <c r="K169" t="str">
        <f>IF(A13&gt;0,REPLACE(J169,13,4,A13),"")</f>
        <v/>
      </c>
    </row>
    <row r="170" spans="10:11" x14ac:dyDescent="0.25">
      <c r="J170" t="s">
        <v>246</v>
      </c>
      <c r="K170" t="str">
        <f>IF(A14&gt;0,REPLACE(J170,13,4,A14),"")</f>
        <v/>
      </c>
    </row>
    <row r="171" spans="10:11" x14ac:dyDescent="0.25">
      <c r="J171" t="s">
        <v>247</v>
      </c>
      <c r="K171" t="str">
        <f>IF(A15&gt;0,REPLACE(J171,13,4,A15),"")</f>
        <v/>
      </c>
    </row>
    <row r="172" spans="10:11" x14ac:dyDescent="0.25">
      <c r="J172" t="s">
        <v>248</v>
      </c>
      <c r="K172" t="str">
        <f>IF(A16&gt;0,REPLACE(J172,13,4,A16),"")</f>
        <v/>
      </c>
    </row>
    <row r="173" spans="10:11" x14ac:dyDescent="0.25">
      <c r="J173" t="s">
        <v>249</v>
      </c>
      <c r="K173" t="str">
        <f>IF(A17&gt;0,REPLACE(J173,13,4,A17),"")</f>
        <v/>
      </c>
    </row>
    <row r="174" spans="10:11" x14ac:dyDescent="0.25">
      <c r="J174" t="s">
        <v>250</v>
      </c>
      <c r="K174" t="str">
        <f>IF(A18&gt;0,REPLACE(J174,13,4,A18),"")</f>
        <v/>
      </c>
    </row>
    <row r="175" spans="10:11" x14ac:dyDescent="0.25">
      <c r="J175" t="s">
        <v>829</v>
      </c>
      <c r="K175" t="str">
        <f>REPLACE(IF(B2&gt;0,REPLACE(J175,53,8,B2),""),20,3,I2)</f>
        <v>5.2. North America ABC Market Size and Forecast, by BB (2024-2032)</v>
      </c>
    </row>
    <row r="176" spans="10:11" x14ac:dyDescent="0.25">
      <c r="J176" t="s">
        <v>251</v>
      </c>
      <c r="K176" t="str">
        <f>IF(B4&gt;0,REPLACE(J176,12,3,B4),"")</f>
        <v/>
      </c>
    </row>
    <row r="177" spans="10:11" x14ac:dyDescent="0.25">
      <c r="J177" t="s">
        <v>252</v>
      </c>
      <c r="K177" t="str">
        <f>IF(B5&gt;0,REPLACE(J177,12,3,B5),"")</f>
        <v/>
      </c>
    </row>
    <row r="178" spans="10:11" x14ac:dyDescent="0.25">
      <c r="J178" t="s">
        <v>253</v>
      </c>
      <c r="K178" t="str">
        <f>IF(B6&gt;0,REPLACE(J178,12,3,B6),"")</f>
        <v/>
      </c>
    </row>
    <row r="179" spans="10:11" x14ac:dyDescent="0.25">
      <c r="J179" t="s">
        <v>254</v>
      </c>
      <c r="K179" t="str">
        <f>IF(B7&gt;0,REPLACE(J179,12,3,B7),"")</f>
        <v/>
      </c>
    </row>
    <row r="180" spans="10:11" x14ac:dyDescent="0.25">
      <c r="J180" t="s">
        <v>255</v>
      </c>
      <c r="K180" t="str">
        <f>IF(B8&gt;0,REPLACE(J180,12,3,B8),"")</f>
        <v/>
      </c>
    </row>
    <row r="181" spans="10:11" x14ac:dyDescent="0.25">
      <c r="J181" t="s">
        <v>256</v>
      </c>
      <c r="K181" t="str">
        <f>IF(B9&gt;0,REPLACE(J181,12,3,B9),"")</f>
        <v/>
      </c>
    </row>
    <row r="182" spans="10:11" x14ac:dyDescent="0.25">
      <c r="J182" t="s">
        <v>257</v>
      </c>
      <c r="K182" t="str">
        <f>IF(B10&gt;0,REPLACE(J182,12,3,B10),"")</f>
        <v/>
      </c>
    </row>
    <row r="183" spans="10:11" x14ac:dyDescent="0.25">
      <c r="J183" t="s">
        <v>258</v>
      </c>
      <c r="K183" t="str">
        <f>IF(B11&gt;0,REPLACE(J183,12,3,B11),"")</f>
        <v/>
      </c>
    </row>
    <row r="184" spans="10:11" x14ac:dyDescent="0.25">
      <c r="J184" t="s">
        <v>259</v>
      </c>
      <c r="K184" t="str">
        <f>IF(B12&gt;0,REPLACE(J184,12,3,B12),"")</f>
        <v/>
      </c>
    </row>
    <row r="185" spans="10:11" x14ac:dyDescent="0.25">
      <c r="J185" t="s">
        <v>260</v>
      </c>
      <c r="K185" t="str">
        <f>IF(B13&gt;0,REPLACE(J185,13,4,B13),"")</f>
        <v/>
      </c>
    </row>
    <row r="186" spans="10:11" x14ac:dyDescent="0.25">
      <c r="J186" t="s">
        <v>261</v>
      </c>
      <c r="K186" t="str">
        <f>IF(B14&gt;0,REPLACE(J186,13,4,B14),"")</f>
        <v/>
      </c>
    </row>
    <row r="187" spans="10:11" x14ac:dyDescent="0.25">
      <c r="J187" t="s">
        <v>262</v>
      </c>
      <c r="K187" t="str">
        <f>IF(B15&gt;0,REPLACE(J187,13,4,B15),"")</f>
        <v/>
      </c>
    </row>
    <row r="188" spans="10:11" x14ac:dyDescent="0.25">
      <c r="J188" t="s">
        <v>263</v>
      </c>
      <c r="K188" t="str">
        <f>IF(B16&gt;0,REPLACE(J188,13,4,B16),"")</f>
        <v/>
      </c>
    </row>
    <row r="189" spans="10:11" x14ac:dyDescent="0.25">
      <c r="J189" t="s">
        <v>264</v>
      </c>
      <c r="K189" t="str">
        <f>IF(B17&gt;0,REPLACE(J189,13,4,B17),"")</f>
        <v/>
      </c>
    </row>
    <row r="190" spans="10:11" x14ac:dyDescent="0.25">
      <c r="J190" t="s">
        <v>265</v>
      </c>
      <c r="K190" t="str">
        <f>IF(B18&gt;0,REPLACE(J190,13,4,B18),"")</f>
        <v/>
      </c>
    </row>
    <row r="191" spans="10:11" x14ac:dyDescent="0.25">
      <c r="J191" t="s">
        <v>830</v>
      </c>
      <c r="K191" t="str">
        <f>REPLACE(IF(C2&gt;0,REPLACE(J191,53,8,C2),""),20,3,I2)</f>
        <v>5.3. North America ABC Market Size and Forecast, by CC (2024-2032)</v>
      </c>
    </row>
    <row r="192" spans="10:11" x14ac:dyDescent="0.25">
      <c r="J192" t="s">
        <v>399</v>
      </c>
      <c r="K192" t="str">
        <f>IF(C4&gt;0,REPLACE(J192,12,3,C4),"")</f>
        <v/>
      </c>
    </row>
    <row r="193" spans="10:11" x14ac:dyDescent="0.25">
      <c r="J193" t="s">
        <v>400</v>
      </c>
      <c r="K193" t="str">
        <f>IF(C5&gt;0,REPLACE(J193,12,3,C5),"")</f>
        <v/>
      </c>
    </row>
    <row r="194" spans="10:11" x14ac:dyDescent="0.25">
      <c r="J194" t="s">
        <v>401</v>
      </c>
      <c r="K194" t="str">
        <f>IF(C6&gt;0,REPLACE(J194,12,3,C6),"")</f>
        <v/>
      </c>
    </row>
    <row r="195" spans="10:11" x14ac:dyDescent="0.25">
      <c r="J195" t="s">
        <v>402</v>
      </c>
      <c r="K195" t="str">
        <f>IF(C7&gt;0,REPLACE(J195,12,3,C7),"")</f>
        <v/>
      </c>
    </row>
    <row r="196" spans="10:11" x14ac:dyDescent="0.25">
      <c r="J196" t="s">
        <v>403</v>
      </c>
      <c r="K196" t="str">
        <f>IF(C8&gt;0,REPLACE(J196,12,3,C8),"")</f>
        <v/>
      </c>
    </row>
    <row r="197" spans="10:11" x14ac:dyDescent="0.25">
      <c r="J197" t="s">
        <v>404</v>
      </c>
      <c r="K197" t="str">
        <f>IF(C9&gt;0,REPLACE(J197,12,3,C9),"")</f>
        <v/>
      </c>
    </row>
    <row r="198" spans="10:11" x14ac:dyDescent="0.25">
      <c r="J198" t="s">
        <v>405</v>
      </c>
      <c r="K198" t="str">
        <f>IF(C10&gt;0,REPLACE(J198,12,3,C10),"")</f>
        <v/>
      </c>
    </row>
    <row r="199" spans="10:11" x14ac:dyDescent="0.25">
      <c r="J199" t="s">
        <v>406</v>
      </c>
      <c r="K199" t="str">
        <f>IF(C11&gt;0,REPLACE(J199,12,3,C11),"")</f>
        <v/>
      </c>
    </row>
    <row r="200" spans="10:11" x14ac:dyDescent="0.25">
      <c r="J200" t="s">
        <v>407</v>
      </c>
      <c r="K200" t="str">
        <f>IF(C12&gt;0,REPLACE(J200,12,3,C12),"")</f>
        <v/>
      </c>
    </row>
    <row r="201" spans="10:11" x14ac:dyDescent="0.25">
      <c r="J201" t="s">
        <v>408</v>
      </c>
      <c r="K201" t="str">
        <f>IF(C13&gt;0,REPLACE(J201,13,4,C13),"")</f>
        <v/>
      </c>
    </row>
    <row r="202" spans="10:11" x14ac:dyDescent="0.25">
      <c r="J202" t="s">
        <v>409</v>
      </c>
      <c r="K202" t="str">
        <f>IF(C14&gt;0,REPLACE(J202,13,4,C14),"")</f>
        <v/>
      </c>
    </row>
    <row r="203" spans="10:11" x14ac:dyDescent="0.25">
      <c r="J203" t="s">
        <v>410</v>
      </c>
      <c r="K203" t="str">
        <f>IF(C15&gt;0,REPLACE(J203,13,4,C15),"")</f>
        <v/>
      </c>
    </row>
    <row r="204" spans="10:11" x14ac:dyDescent="0.25">
      <c r="J204" t="s">
        <v>411</v>
      </c>
      <c r="K204" t="str">
        <f>IF(C16&gt;0,REPLACE(J204,13,4,C16),"")</f>
        <v/>
      </c>
    </row>
    <row r="205" spans="10:11" x14ac:dyDescent="0.25">
      <c r="J205" t="s">
        <v>412</v>
      </c>
      <c r="K205" t="str">
        <f>IF(C17&gt;0,REPLACE(J205,13,4,C17),"")</f>
        <v/>
      </c>
    </row>
    <row r="206" spans="10:11" x14ac:dyDescent="0.25">
      <c r="J206" t="s">
        <v>413</v>
      </c>
      <c r="K206" t="str">
        <f>IF(C18&gt;0,REPLACE(J206,13,4,C18),"")</f>
        <v/>
      </c>
    </row>
    <row r="207" spans="10:11" x14ac:dyDescent="0.25">
      <c r="J207" t="s">
        <v>831</v>
      </c>
      <c r="K207" t="str">
        <f>REPLACE(IF(D2&gt;0,REPLACE(J207,53,8,D2),""),20,3,I2)</f>
        <v>5.4. North America ABC Market Size and Forecast, by DD (2024-2032)</v>
      </c>
    </row>
    <row r="208" spans="10:11" x14ac:dyDescent="0.25">
      <c r="J208" t="s">
        <v>414</v>
      </c>
      <c r="K208" t="str">
        <f>IF(D4&gt;0,REPLACE(J208,12,3,D4),"")</f>
        <v/>
      </c>
    </row>
    <row r="209" spans="10:11" x14ac:dyDescent="0.25">
      <c r="J209" t="s">
        <v>415</v>
      </c>
      <c r="K209" t="str">
        <f>IF(D5&gt;0,REPLACE(J209,12,3,D5),"")</f>
        <v/>
      </c>
    </row>
    <row r="210" spans="10:11" x14ac:dyDescent="0.25">
      <c r="J210" t="s">
        <v>416</v>
      </c>
      <c r="K210" t="str">
        <f>IF(D6&gt;0,REPLACE(J210,12,3,D6),"")</f>
        <v/>
      </c>
    </row>
    <row r="211" spans="10:11" x14ac:dyDescent="0.25">
      <c r="J211" t="s">
        <v>417</v>
      </c>
      <c r="K211" t="str">
        <f>IF(D7&gt;0,REPLACE(J211,12,3,D7),"")</f>
        <v/>
      </c>
    </row>
    <row r="212" spans="10:11" x14ac:dyDescent="0.25">
      <c r="J212" t="s">
        <v>418</v>
      </c>
      <c r="K212" t="str">
        <f>IF(D8&gt;0,REPLACE(J212,12,3,D8),"")</f>
        <v/>
      </c>
    </row>
    <row r="213" spans="10:11" x14ac:dyDescent="0.25">
      <c r="J213" t="s">
        <v>419</v>
      </c>
      <c r="K213" t="str">
        <f>IF(D9&gt;0,REPLACE(J213,12,3,D9),"")</f>
        <v/>
      </c>
    </row>
    <row r="214" spans="10:11" x14ac:dyDescent="0.25">
      <c r="J214" t="s">
        <v>420</v>
      </c>
      <c r="K214" t="str">
        <f>IF(D10&gt;0,REPLACE(J214,12,3,D10),"")</f>
        <v/>
      </c>
    </row>
    <row r="215" spans="10:11" x14ac:dyDescent="0.25">
      <c r="J215" t="s">
        <v>421</v>
      </c>
      <c r="K215" t="str">
        <f>IF(D11&gt;0,REPLACE(J215,12,3,D11),"")</f>
        <v/>
      </c>
    </row>
    <row r="216" spans="10:11" x14ac:dyDescent="0.25">
      <c r="J216" t="s">
        <v>422</v>
      </c>
      <c r="K216" t="str">
        <f>IF(D12&gt;0,REPLACE(J216,12,3,D12),"")</f>
        <v/>
      </c>
    </row>
    <row r="217" spans="10:11" x14ac:dyDescent="0.25">
      <c r="J217" t="s">
        <v>423</v>
      </c>
      <c r="K217" t="str">
        <f>IF(D13&gt;0,REPLACE(J217,13,4,D13),"")</f>
        <v/>
      </c>
    </row>
    <row r="218" spans="10:11" x14ac:dyDescent="0.25">
      <c r="J218" t="s">
        <v>424</v>
      </c>
      <c r="K218" t="str">
        <f>IF(D14&gt;0,REPLACE(J218,13,4,D14),"")</f>
        <v/>
      </c>
    </row>
    <row r="219" spans="10:11" x14ac:dyDescent="0.25">
      <c r="J219" t="s">
        <v>425</v>
      </c>
      <c r="K219" t="str">
        <f>IF(D15&gt;0,REPLACE(J219,13,4,D15),"")</f>
        <v/>
      </c>
    </row>
    <row r="220" spans="10:11" x14ac:dyDescent="0.25">
      <c r="J220" t="s">
        <v>426</v>
      </c>
      <c r="K220" t="str">
        <f>IF(D16&gt;0,REPLACE(J220,13,4,D16),"")</f>
        <v/>
      </c>
    </row>
    <row r="221" spans="10:11" x14ac:dyDescent="0.25">
      <c r="J221" t="s">
        <v>427</v>
      </c>
      <c r="K221" t="str">
        <f>IF(D17&gt;0,REPLACE(J221,13,4,D17),"")</f>
        <v/>
      </c>
    </row>
    <row r="222" spans="10:11" x14ac:dyDescent="0.25">
      <c r="J222" t="s">
        <v>428</v>
      </c>
      <c r="K222" t="str">
        <f>IF(D18&gt;0,REPLACE(J222,13,4,D18),"")</f>
        <v/>
      </c>
    </row>
    <row r="223" spans="10:11" x14ac:dyDescent="0.25">
      <c r="J223" t="s">
        <v>832</v>
      </c>
      <c r="K223" t="str">
        <f>REPLACE(IF(E2&gt;0,REPLACE(J223,53,8,E2),""),20,3,I2)</f>
        <v>5.5. North America ABC Market Size and Forecast, by EE (2024-2032)</v>
      </c>
    </row>
    <row r="224" spans="10:11" x14ac:dyDescent="0.25">
      <c r="J224" t="s">
        <v>429</v>
      </c>
      <c r="K224" t="str">
        <f>IF(E4&gt;0,REPLACE(J224,12,3,E4),"")</f>
        <v/>
      </c>
    </row>
    <row r="225" spans="10:11" x14ac:dyDescent="0.25">
      <c r="J225" t="s">
        <v>430</v>
      </c>
      <c r="K225" t="str">
        <f>IF(E5&gt;0,REPLACE(J225,12,3,E5),"")</f>
        <v/>
      </c>
    </row>
    <row r="226" spans="10:11" x14ac:dyDescent="0.25">
      <c r="J226" t="s">
        <v>431</v>
      </c>
      <c r="K226" t="str">
        <f>IF(E6&gt;0,REPLACE(J226,12,3,E6),"")</f>
        <v/>
      </c>
    </row>
    <row r="227" spans="10:11" x14ac:dyDescent="0.25">
      <c r="J227" t="s">
        <v>432</v>
      </c>
      <c r="K227" t="str">
        <f>IF(E7&gt;0,REPLACE(J227,12,3,E7),"")</f>
        <v/>
      </c>
    </row>
    <row r="228" spans="10:11" x14ac:dyDescent="0.25">
      <c r="J228" t="s">
        <v>433</v>
      </c>
      <c r="K228" t="str">
        <f>IF(E8&gt;0,REPLACE(J228,12,3,E8),"")</f>
        <v/>
      </c>
    </row>
    <row r="229" spans="10:11" x14ac:dyDescent="0.25">
      <c r="J229" t="s">
        <v>434</v>
      </c>
      <c r="K229" t="str">
        <f>IF(E9&gt;0,REPLACE(J229,12,3,E9),"")</f>
        <v/>
      </c>
    </row>
    <row r="230" spans="10:11" x14ac:dyDescent="0.25">
      <c r="J230" t="s">
        <v>435</v>
      </c>
      <c r="K230" t="str">
        <f>IF(E10&gt;0,REPLACE(J230,12,3,E10),"")</f>
        <v/>
      </c>
    </row>
    <row r="231" spans="10:11" x14ac:dyDescent="0.25">
      <c r="J231" t="s">
        <v>436</v>
      </c>
      <c r="K231" t="str">
        <f>IF(E11&gt;0,REPLACE(J231,12,3,E11),"")</f>
        <v/>
      </c>
    </row>
    <row r="232" spans="10:11" x14ac:dyDescent="0.25">
      <c r="J232" t="s">
        <v>437</v>
      </c>
      <c r="K232" t="str">
        <f>IF(E12&gt;0,REPLACE(J232,12,3,E12),"")</f>
        <v/>
      </c>
    </row>
    <row r="233" spans="10:11" x14ac:dyDescent="0.25">
      <c r="J233" t="s">
        <v>438</v>
      </c>
      <c r="K233" t="str">
        <f>IF(E13&gt;0,REPLACE(J233,13,4,E13),"")</f>
        <v/>
      </c>
    </row>
    <row r="234" spans="10:11" x14ac:dyDescent="0.25">
      <c r="J234" t="s">
        <v>439</v>
      </c>
      <c r="K234" t="str">
        <f>IF(E14&gt;0,REPLACE(J234,13,4,E14),"")</f>
        <v/>
      </c>
    </row>
    <row r="235" spans="10:11" x14ac:dyDescent="0.25">
      <c r="J235" t="s">
        <v>440</v>
      </c>
      <c r="K235" t="str">
        <f>IF(E15&gt;0,REPLACE(J235,13,4,E15),"")</f>
        <v/>
      </c>
    </row>
    <row r="236" spans="10:11" x14ac:dyDescent="0.25">
      <c r="J236" t="s">
        <v>441</v>
      </c>
      <c r="K236" t="str">
        <f>IF(E16&gt;0,REPLACE(J236,13,4,E16),"")</f>
        <v/>
      </c>
    </row>
    <row r="237" spans="10:11" x14ac:dyDescent="0.25">
      <c r="J237" t="s">
        <v>442</v>
      </c>
      <c r="K237" t="str">
        <f>IF(E17&gt;0,REPLACE(J237,13,4,E17),"")</f>
        <v/>
      </c>
    </row>
    <row r="238" spans="10:11" x14ac:dyDescent="0.25">
      <c r="J238" t="s">
        <v>443</v>
      </c>
      <c r="K238" t="str">
        <f>IF(E18&gt;0,REPLACE(J238,13,4,E18),"")</f>
        <v/>
      </c>
    </row>
    <row r="239" spans="10:11" x14ac:dyDescent="0.25">
      <c r="J239" t="s">
        <v>1551</v>
      </c>
      <c r="K239" t="str">
        <f>REPLACE(J239,20,3,I2)</f>
        <v>5.6. North America ABC Market Size and Forecast, by Country (2024-2032)</v>
      </c>
    </row>
    <row r="240" spans="10:11" x14ac:dyDescent="0.25">
      <c r="J240" t="s">
        <v>1552</v>
      </c>
      <c r="K240" t="str">
        <f>J240</f>
        <v>&lt;strong&gt;&lt;em&gt;5.6.1. United States&lt;/em&gt;&lt;/strong&gt;</v>
      </c>
    </row>
    <row r="241" spans="10:11" x14ac:dyDescent="0.25">
      <c r="J241" t="s">
        <v>1553</v>
      </c>
      <c r="K241" t="str">
        <f>REPLACE(IF(A2&gt;0,REPLACE(J241,61,8,A2),""),28,3,I2)</f>
        <v>&lt;em&gt;5.6.1.1. United States ABC Market Size and Forecast, by AA (2024-2032)&lt;/em&gt;</v>
      </c>
    </row>
    <row r="242" spans="10:11" x14ac:dyDescent="0.25">
      <c r="J242" t="s">
        <v>1554</v>
      </c>
      <c r="K242" t="str">
        <f>IF(A4&gt;0,REPLACE(J242,16,3,A4),"")</f>
        <v/>
      </c>
    </row>
    <row r="243" spans="10:11" x14ac:dyDescent="0.25">
      <c r="J243" t="s">
        <v>1555</v>
      </c>
      <c r="K243" t="str">
        <f>IF(A5&gt;0,REPLACE(J243,16,3,A5),"")</f>
        <v/>
      </c>
    </row>
    <row r="244" spans="10:11" x14ac:dyDescent="0.25">
      <c r="J244" t="s">
        <v>1556</v>
      </c>
      <c r="K244" t="str">
        <f>IF(A6&gt;0,REPLACE(J244,16,3,A6),"")</f>
        <v/>
      </c>
    </row>
    <row r="245" spans="10:11" x14ac:dyDescent="0.25">
      <c r="J245" t="s">
        <v>1557</v>
      </c>
      <c r="K245" t="str">
        <f>IF(A7&gt;0,REPLACE(J245,16,3,A7),"")</f>
        <v/>
      </c>
    </row>
    <row r="246" spans="10:11" x14ac:dyDescent="0.25">
      <c r="J246" t="s">
        <v>1558</v>
      </c>
      <c r="K246" t="str">
        <f>IF(A8&gt;0,REPLACE(J246,16,3,A8),"")</f>
        <v/>
      </c>
    </row>
    <row r="247" spans="10:11" x14ac:dyDescent="0.25">
      <c r="J247" t="s">
        <v>1559</v>
      </c>
      <c r="K247" t="str">
        <f>IF(A9&gt;0,REPLACE(J247,16,3,A9),"")</f>
        <v/>
      </c>
    </row>
    <row r="248" spans="10:11" x14ac:dyDescent="0.25">
      <c r="J248" t="s">
        <v>1560</v>
      </c>
      <c r="K248" t="str">
        <f>IF(A10&gt;0,REPLACE(J248,16,3,A10),"")</f>
        <v/>
      </c>
    </row>
    <row r="249" spans="10:11" x14ac:dyDescent="0.25">
      <c r="J249" t="s">
        <v>1561</v>
      </c>
      <c r="K249" t="str">
        <f>IF(A11&gt;0,REPLACE(J249,16,3,A11),"")</f>
        <v/>
      </c>
    </row>
    <row r="250" spans="10:11" x14ac:dyDescent="0.25">
      <c r="J250" t="s">
        <v>1562</v>
      </c>
      <c r="K250" t="str">
        <f>IF(A12&gt;0,REPLACE(J250,16,3,A12),"")</f>
        <v/>
      </c>
    </row>
    <row r="251" spans="10:11" x14ac:dyDescent="0.25">
      <c r="J251" t="s">
        <v>1563</v>
      </c>
      <c r="K251" t="str">
        <f>IF(A13&gt;0,REPLACE(J251,17,4,A13),"")</f>
        <v/>
      </c>
    </row>
    <row r="252" spans="10:11" x14ac:dyDescent="0.25">
      <c r="J252" t="s">
        <v>1564</v>
      </c>
      <c r="K252" t="str">
        <f>IF(A14&gt;0,REPLACE(J252,17,4,A14),"")</f>
        <v/>
      </c>
    </row>
    <row r="253" spans="10:11" x14ac:dyDescent="0.25">
      <c r="J253" t="s">
        <v>1565</v>
      </c>
      <c r="K253" t="str">
        <f>IF(A15&gt;0,REPLACE(J253,17,4,A15),"")</f>
        <v/>
      </c>
    </row>
    <row r="254" spans="10:11" x14ac:dyDescent="0.25">
      <c r="J254" t="s">
        <v>1566</v>
      </c>
      <c r="K254" t="str">
        <f>IF(A16&gt;0,REPLACE(J254,17,4,A16),"")</f>
        <v/>
      </c>
    </row>
    <row r="255" spans="10:11" x14ac:dyDescent="0.25">
      <c r="J255" t="s">
        <v>1567</v>
      </c>
      <c r="K255" t="str">
        <f>IF(A17&gt;0,REPLACE(J255,17,4,A17),"")</f>
        <v/>
      </c>
    </row>
    <row r="256" spans="10:11" x14ac:dyDescent="0.25">
      <c r="J256" t="s">
        <v>1568</v>
      </c>
      <c r="K256" t="str">
        <f>IF(A18&gt;0,REPLACE(J256,17,4,A18),"")</f>
        <v/>
      </c>
    </row>
    <row r="257" spans="10:11" x14ac:dyDescent="0.25">
      <c r="J257" t="s">
        <v>1569</v>
      </c>
      <c r="K257" t="str">
        <f>REPLACE(IF(B2&gt;0,REPLACE(J257,61,8,B2),""),28,3,I2)</f>
        <v>&lt;em&gt;5.6.1.2. United States ABC Market Size and Forecast, by BB (2024-2032)&lt;/em&gt;</v>
      </c>
    </row>
    <row r="258" spans="10:11" x14ac:dyDescent="0.25">
      <c r="J258" t="s">
        <v>1570</v>
      </c>
      <c r="K258" t="str">
        <f>IF(B4&gt;0,REPLACE(J258,16,3,B4),"")</f>
        <v/>
      </c>
    </row>
    <row r="259" spans="10:11" x14ac:dyDescent="0.25">
      <c r="J259" t="s">
        <v>1571</v>
      </c>
      <c r="K259" t="str">
        <f>IF(B5&gt;0,REPLACE(J259,16,3,B5),"")</f>
        <v/>
      </c>
    </row>
    <row r="260" spans="10:11" x14ac:dyDescent="0.25">
      <c r="J260" t="s">
        <v>1572</v>
      </c>
      <c r="K260" t="str">
        <f>IF(B6&gt;0,REPLACE(J260,16,3,B6),"")</f>
        <v/>
      </c>
    </row>
    <row r="261" spans="10:11" x14ac:dyDescent="0.25">
      <c r="J261" t="s">
        <v>1573</v>
      </c>
      <c r="K261" t="str">
        <f>IF(B7&gt;0,REPLACE(J261,16,3,B7),"")</f>
        <v/>
      </c>
    </row>
    <row r="262" spans="10:11" x14ac:dyDescent="0.25">
      <c r="J262" t="s">
        <v>1574</v>
      </c>
      <c r="K262" t="str">
        <f>IF(B8&gt;0,REPLACE(J262,16,3,B8),"")</f>
        <v/>
      </c>
    </row>
    <row r="263" spans="10:11" x14ac:dyDescent="0.25">
      <c r="J263" t="s">
        <v>1575</v>
      </c>
      <c r="K263" t="str">
        <f>IF(B9&gt;0,REPLACE(J263,16,3,B9),"")</f>
        <v/>
      </c>
    </row>
    <row r="264" spans="10:11" x14ac:dyDescent="0.25">
      <c r="J264" t="s">
        <v>1576</v>
      </c>
      <c r="K264" t="str">
        <f>IF(B10&gt;0,REPLACE(J264,16,3,B10),"")</f>
        <v/>
      </c>
    </row>
    <row r="265" spans="10:11" x14ac:dyDescent="0.25">
      <c r="J265" t="s">
        <v>1577</v>
      </c>
      <c r="K265" t="str">
        <f>IF(B11&gt;0,REPLACE(J265,16,3,B11),"")</f>
        <v/>
      </c>
    </row>
    <row r="266" spans="10:11" x14ac:dyDescent="0.25">
      <c r="J266" t="s">
        <v>1578</v>
      </c>
      <c r="K266" t="str">
        <f>IF(B12&gt;0,REPLACE(J266,16,3,B12),"")</f>
        <v/>
      </c>
    </row>
    <row r="267" spans="10:11" x14ac:dyDescent="0.25">
      <c r="J267" t="s">
        <v>1579</v>
      </c>
      <c r="K267" t="str">
        <f>IF(B13&gt;0,REPLACE(J267,17,4,B13),"")</f>
        <v/>
      </c>
    </row>
    <row r="268" spans="10:11" x14ac:dyDescent="0.25">
      <c r="J268" t="s">
        <v>1580</v>
      </c>
      <c r="K268" t="str">
        <f>IF(B14&gt;0,REPLACE(J268,17,4,B14),"")</f>
        <v/>
      </c>
    </row>
    <row r="269" spans="10:11" x14ac:dyDescent="0.25">
      <c r="J269" t="s">
        <v>1581</v>
      </c>
      <c r="K269" t="str">
        <f>IF(B15&gt;0,REPLACE(J269,17,4,B15),"")</f>
        <v/>
      </c>
    </row>
    <row r="270" spans="10:11" x14ac:dyDescent="0.25">
      <c r="J270" t="s">
        <v>1582</v>
      </c>
      <c r="K270" t="str">
        <f>IF(B16&gt;0,REPLACE(J270,17,4,B16),"")</f>
        <v/>
      </c>
    </row>
    <row r="271" spans="10:11" x14ac:dyDescent="0.25">
      <c r="J271" t="s">
        <v>1583</v>
      </c>
      <c r="K271" t="str">
        <f>IF(B17&gt;0,REPLACE(J271,17,4,B17),"")</f>
        <v/>
      </c>
    </row>
    <row r="272" spans="10:11" x14ac:dyDescent="0.25">
      <c r="J272" t="s">
        <v>1584</v>
      </c>
      <c r="K272" t="str">
        <f>IF(B18&gt;0,REPLACE(J272,17,4,B18),"")</f>
        <v/>
      </c>
    </row>
    <row r="273" spans="10:11" x14ac:dyDescent="0.25">
      <c r="J273" t="s">
        <v>1585</v>
      </c>
      <c r="K273" t="str">
        <f>REPLACE(IF(C2&gt;0,REPLACE(J273,61,8,C2),""),28,3,I2)</f>
        <v>&lt;em&gt;5.6.1.3. United States ABC Market Size and Forecast, by CC (2024-2032)&lt;/em&gt;</v>
      </c>
    </row>
    <row r="274" spans="10:11" x14ac:dyDescent="0.25">
      <c r="J274" t="s">
        <v>1586</v>
      </c>
      <c r="K274" t="str">
        <f>IF(C4&gt;0,REPLACE(J274,16,3,C4),"")</f>
        <v/>
      </c>
    </row>
    <row r="275" spans="10:11" x14ac:dyDescent="0.25">
      <c r="J275" t="s">
        <v>1587</v>
      </c>
      <c r="K275" t="str">
        <f>IF(C5&gt;0,REPLACE(J275,16,3,C5),"")</f>
        <v/>
      </c>
    </row>
    <row r="276" spans="10:11" x14ac:dyDescent="0.25">
      <c r="J276" t="s">
        <v>1588</v>
      </c>
      <c r="K276" t="str">
        <f>IF(C6&gt;0,REPLACE(J276,16,3,C6),"")</f>
        <v/>
      </c>
    </row>
    <row r="277" spans="10:11" x14ac:dyDescent="0.25">
      <c r="J277" t="s">
        <v>1589</v>
      </c>
      <c r="K277" t="str">
        <f>IF(C7&gt;0,REPLACE(J277,16,3,C7),"")</f>
        <v/>
      </c>
    </row>
    <row r="278" spans="10:11" x14ac:dyDescent="0.25">
      <c r="J278" t="s">
        <v>1590</v>
      </c>
      <c r="K278" t="str">
        <f>IF(C8&gt;0,REPLACE(J278,16,3,C8),"")</f>
        <v/>
      </c>
    </row>
    <row r="279" spans="10:11" x14ac:dyDescent="0.25">
      <c r="J279" t="s">
        <v>1591</v>
      </c>
      <c r="K279" t="str">
        <f>IF(C9&gt;0,REPLACE(J279,16,3,C9),"")</f>
        <v/>
      </c>
    </row>
    <row r="280" spans="10:11" x14ac:dyDescent="0.25">
      <c r="J280" t="s">
        <v>1592</v>
      </c>
      <c r="K280" t="str">
        <f>IF(C10&gt;0,REPLACE(J280,16,3,C10),"")</f>
        <v/>
      </c>
    </row>
    <row r="281" spans="10:11" x14ac:dyDescent="0.25">
      <c r="J281" t="s">
        <v>1593</v>
      </c>
      <c r="K281" t="str">
        <f>IF(C11&gt;0,REPLACE(J281,16,3,C11),"")</f>
        <v/>
      </c>
    </row>
    <row r="282" spans="10:11" x14ac:dyDescent="0.25">
      <c r="J282" t="s">
        <v>1594</v>
      </c>
      <c r="K282" t="str">
        <f>IF(C12&gt;0,REPLACE(J282,16,3,C12),"")</f>
        <v/>
      </c>
    </row>
    <row r="283" spans="10:11" x14ac:dyDescent="0.25">
      <c r="J283" t="s">
        <v>1595</v>
      </c>
      <c r="K283" t="str">
        <f>IF(C13&gt;0,REPLACE(J283,17,4,C13),"")</f>
        <v/>
      </c>
    </row>
    <row r="284" spans="10:11" x14ac:dyDescent="0.25">
      <c r="J284" t="s">
        <v>1596</v>
      </c>
      <c r="K284" t="str">
        <f>IF(C14&gt;0,REPLACE(J284,17,4,C14),"")</f>
        <v/>
      </c>
    </row>
    <row r="285" spans="10:11" x14ac:dyDescent="0.25">
      <c r="J285" t="s">
        <v>1597</v>
      </c>
      <c r="K285" t="str">
        <f>IF(C15&gt;0,REPLACE(J285,17,4,C15),"")</f>
        <v/>
      </c>
    </row>
    <row r="286" spans="10:11" x14ac:dyDescent="0.25">
      <c r="J286" t="s">
        <v>1598</v>
      </c>
      <c r="K286" t="str">
        <f>IF(C16&gt;0,REPLACE(J286,17,4,C16),"")</f>
        <v/>
      </c>
    </row>
    <row r="287" spans="10:11" x14ac:dyDescent="0.25">
      <c r="J287" t="s">
        <v>1599</v>
      </c>
      <c r="K287" t="str">
        <f>IF(C17&gt;0,REPLACE(J287,17,4,C17),"")</f>
        <v/>
      </c>
    </row>
    <row r="288" spans="10:11" x14ac:dyDescent="0.25">
      <c r="J288" t="s">
        <v>1600</v>
      </c>
      <c r="K288" t="str">
        <f>IF(C18&gt;0,REPLACE(J288,17,4,C18),"")</f>
        <v/>
      </c>
    </row>
    <row r="289" spans="10:11" x14ac:dyDescent="0.25">
      <c r="J289" t="s">
        <v>1601</v>
      </c>
      <c r="K289" t="str">
        <f>REPLACE(IF(D2&gt;0,REPLACE(J289,61,8,D2),""),28,3,I2)</f>
        <v>&lt;em&gt;5.6.1.4. United States ABC Market Size and Forecast, by DD (2024-2032)&lt;/em&gt;</v>
      </c>
    </row>
    <row r="290" spans="10:11" x14ac:dyDescent="0.25">
      <c r="J290" t="s">
        <v>1602</v>
      </c>
      <c r="K290" t="str">
        <f>IF(D4&gt;0,REPLACE(J290,16,3,D4),"")</f>
        <v/>
      </c>
    </row>
    <row r="291" spans="10:11" x14ac:dyDescent="0.25">
      <c r="J291" t="s">
        <v>1603</v>
      </c>
      <c r="K291" t="str">
        <f>IF(D5&gt;0,REPLACE(J291,16,3,D5),"")</f>
        <v/>
      </c>
    </row>
    <row r="292" spans="10:11" x14ac:dyDescent="0.25">
      <c r="J292" t="s">
        <v>1604</v>
      </c>
      <c r="K292" t="str">
        <f>IF(D6&gt;0,REPLACE(J292,16,3,D6),"")</f>
        <v/>
      </c>
    </row>
    <row r="293" spans="10:11" x14ac:dyDescent="0.25">
      <c r="J293" t="s">
        <v>1605</v>
      </c>
      <c r="K293" t="str">
        <f>IF(D7&gt;0,REPLACE(J293,16,3,D7),"")</f>
        <v/>
      </c>
    </row>
    <row r="294" spans="10:11" x14ac:dyDescent="0.25">
      <c r="J294" t="s">
        <v>1606</v>
      </c>
      <c r="K294" t="str">
        <f>IF(D8&gt;0,REPLACE(J294,16,3,D8),"")</f>
        <v/>
      </c>
    </row>
    <row r="295" spans="10:11" x14ac:dyDescent="0.25">
      <c r="J295" t="s">
        <v>1607</v>
      </c>
      <c r="K295" t="str">
        <f>IF(D9&gt;0,REPLACE(J295,16,3,D9),"")</f>
        <v/>
      </c>
    </row>
    <row r="296" spans="10:11" x14ac:dyDescent="0.25">
      <c r="J296" t="s">
        <v>1608</v>
      </c>
      <c r="K296" t="str">
        <f>IF(D10&gt;0,REPLACE(J296,16,3,D10),"")</f>
        <v/>
      </c>
    </row>
    <row r="297" spans="10:11" x14ac:dyDescent="0.25">
      <c r="J297" t="s">
        <v>1609</v>
      </c>
      <c r="K297" t="str">
        <f>IF(D11&gt;0,REPLACE(J297,16,3,D11),"")</f>
        <v/>
      </c>
    </row>
    <row r="298" spans="10:11" x14ac:dyDescent="0.25">
      <c r="J298" t="s">
        <v>1610</v>
      </c>
      <c r="K298" t="str">
        <f>IF(D12&gt;0,REPLACE(J298,16,3,D12),"")</f>
        <v/>
      </c>
    </row>
    <row r="299" spans="10:11" x14ac:dyDescent="0.25">
      <c r="J299" t="s">
        <v>1611</v>
      </c>
      <c r="K299" t="str">
        <f>IF(D13&gt;0,REPLACE(J299,17,4,D13),"")</f>
        <v/>
      </c>
    </row>
    <row r="300" spans="10:11" x14ac:dyDescent="0.25">
      <c r="J300" t="s">
        <v>1612</v>
      </c>
      <c r="K300" t="str">
        <f>IF(D14&gt;0,REPLACE(J300,17,4,D14),"")</f>
        <v/>
      </c>
    </row>
    <row r="301" spans="10:11" x14ac:dyDescent="0.25">
      <c r="J301" t="s">
        <v>1613</v>
      </c>
      <c r="K301" t="str">
        <f>IF(D15&gt;0,REPLACE(J301,17,4,D15),"")</f>
        <v/>
      </c>
    </row>
    <row r="302" spans="10:11" x14ac:dyDescent="0.25">
      <c r="J302" t="s">
        <v>1614</v>
      </c>
      <c r="K302" t="str">
        <f>IF(D16&gt;0,REPLACE(J302,17,4,D16),"")</f>
        <v/>
      </c>
    </row>
    <row r="303" spans="10:11" x14ac:dyDescent="0.25">
      <c r="J303" t="s">
        <v>1615</v>
      </c>
      <c r="K303" t="str">
        <f>IF(D17&gt;0,REPLACE(J303,17,4,D17),"")</f>
        <v/>
      </c>
    </row>
    <row r="304" spans="10:11" x14ac:dyDescent="0.25">
      <c r="J304" t="s">
        <v>1616</v>
      </c>
      <c r="K304" t="str">
        <f>IF(D18&gt;0,REPLACE(J304,17,4,D18),"")</f>
        <v/>
      </c>
    </row>
    <row r="305" spans="10:11" x14ac:dyDescent="0.25">
      <c r="J305" t="s">
        <v>1617</v>
      </c>
      <c r="K305" t="str">
        <f>REPLACE(IF(E2&gt;0,REPLACE(J305,61,8,E2),""),28,3,I2)</f>
        <v>&lt;em&gt;5.6.1.5. United States ABC Market Size and Forecast, by EE (2024-2032)&lt;/em&gt;</v>
      </c>
    </row>
    <row r="306" spans="10:11" x14ac:dyDescent="0.25">
      <c r="J306" t="s">
        <v>1618</v>
      </c>
      <c r="K306" t="str">
        <f>IF(E4&gt;0,REPLACE(J306,16,3,E4),"")</f>
        <v/>
      </c>
    </row>
    <row r="307" spans="10:11" x14ac:dyDescent="0.25">
      <c r="J307" t="s">
        <v>1619</v>
      </c>
      <c r="K307" t="str">
        <f>IF(E5&gt;0,REPLACE(J307,16,3,E5),"")</f>
        <v/>
      </c>
    </row>
    <row r="308" spans="10:11" x14ac:dyDescent="0.25">
      <c r="J308" t="s">
        <v>1620</v>
      </c>
      <c r="K308" t="str">
        <f>IF(E6&gt;0,REPLACE(J308,16,3,E6),"")</f>
        <v/>
      </c>
    </row>
    <row r="309" spans="10:11" x14ac:dyDescent="0.25">
      <c r="J309" t="s">
        <v>1621</v>
      </c>
      <c r="K309" t="str">
        <f>IF(E7&gt;0,REPLACE(J309,16,3,E7),"")</f>
        <v/>
      </c>
    </row>
    <row r="310" spans="10:11" x14ac:dyDescent="0.25">
      <c r="J310" t="s">
        <v>1622</v>
      </c>
      <c r="K310" t="str">
        <f>IF(E8&gt;0,REPLACE(J310,16,3,E8),"")</f>
        <v/>
      </c>
    </row>
    <row r="311" spans="10:11" x14ac:dyDescent="0.25">
      <c r="J311" t="s">
        <v>1623</v>
      </c>
      <c r="K311" t="str">
        <f>IF(E9&gt;0,REPLACE(J311,16,3,E9),"")</f>
        <v/>
      </c>
    </row>
    <row r="312" spans="10:11" x14ac:dyDescent="0.25">
      <c r="J312" t="s">
        <v>1624</v>
      </c>
      <c r="K312" t="str">
        <f>IF(E10&gt;0,REPLACE(J312,16,3,E10),"")</f>
        <v/>
      </c>
    </row>
    <row r="313" spans="10:11" x14ac:dyDescent="0.25">
      <c r="J313" t="s">
        <v>1625</v>
      </c>
      <c r="K313" t="str">
        <f>IF(E11&gt;0,REPLACE(J313,16,3,E11),"")</f>
        <v/>
      </c>
    </row>
    <row r="314" spans="10:11" x14ac:dyDescent="0.25">
      <c r="J314" t="s">
        <v>1626</v>
      </c>
      <c r="K314" t="str">
        <f>IF(E12&gt;0,REPLACE(J314,16,3,E12),"")</f>
        <v/>
      </c>
    </row>
    <row r="315" spans="10:11" x14ac:dyDescent="0.25">
      <c r="J315" t="s">
        <v>1627</v>
      </c>
      <c r="K315" t="str">
        <f>IF(E13&gt;0,REPLACE(J315,17,4,E13),"")</f>
        <v/>
      </c>
    </row>
    <row r="316" spans="10:11" x14ac:dyDescent="0.25">
      <c r="J316" t="s">
        <v>1628</v>
      </c>
      <c r="K316" t="str">
        <f>IF(E14&gt;0,REPLACE(J316,17,4,E14),"")</f>
        <v/>
      </c>
    </row>
    <row r="317" spans="10:11" x14ac:dyDescent="0.25">
      <c r="J317" t="s">
        <v>1629</v>
      </c>
      <c r="K317" t="str">
        <f>IF(E15&gt;0,REPLACE(J317,17,4,E15),"")</f>
        <v/>
      </c>
    </row>
    <row r="318" spans="10:11" x14ac:dyDescent="0.25">
      <c r="J318" t="s">
        <v>1630</v>
      </c>
      <c r="K318" t="str">
        <f>IF(E16&gt;0,REPLACE(J318,17,4,E16),"")</f>
        <v/>
      </c>
    </row>
    <row r="319" spans="10:11" x14ac:dyDescent="0.25">
      <c r="J319" t="s">
        <v>1631</v>
      </c>
      <c r="K319" t="str">
        <f>IF(E17&gt;0,REPLACE(J319,17,4,E17),"")</f>
        <v/>
      </c>
    </row>
    <row r="320" spans="10:11" x14ac:dyDescent="0.25">
      <c r="J320" t="s">
        <v>1632</v>
      </c>
      <c r="K320" t="str">
        <f>IF(E18&gt;0,REPLACE(J320,17,4,E18),"")</f>
        <v/>
      </c>
    </row>
    <row r="321" spans="10:11" x14ac:dyDescent="0.25">
      <c r="J321" t="s">
        <v>1633</v>
      </c>
      <c r="K321" t="str">
        <f>J321</f>
        <v>&lt;strong&gt;&lt;em&gt;5.6.2. Canada&lt;/em&gt;&lt;/strong&gt;</v>
      </c>
    </row>
    <row r="322" spans="10:11" x14ac:dyDescent="0.25">
      <c r="J322" t="s">
        <v>1634</v>
      </c>
      <c r="K322" t="str">
        <f>REPLACE(IF(A2&gt;0,REPLACE(J322,54,8,A2),""),21,3,I2)</f>
        <v>&lt;em&gt;5.6.2.1. Canada ABC Market Size and Forecast, by AA (2024-2032)&lt;/em&gt;</v>
      </c>
    </row>
    <row r="323" spans="10:11" x14ac:dyDescent="0.25">
      <c r="J323" t="s">
        <v>1635</v>
      </c>
      <c r="K323" t="str">
        <f>IF(A4&gt;0,REPLACE(J323,16,3,A4),"")</f>
        <v/>
      </c>
    </row>
    <row r="324" spans="10:11" x14ac:dyDescent="0.25">
      <c r="J324" t="s">
        <v>1636</v>
      </c>
      <c r="K324" t="str">
        <f>IF(A5&gt;0,REPLACE(J324,16,3,A5),"")</f>
        <v/>
      </c>
    </row>
    <row r="325" spans="10:11" x14ac:dyDescent="0.25">
      <c r="J325" t="s">
        <v>1637</v>
      </c>
      <c r="K325" t="str">
        <f>IF(A6&gt;0,REPLACE(J325,16,3,A6),"")</f>
        <v/>
      </c>
    </row>
    <row r="326" spans="10:11" x14ac:dyDescent="0.25">
      <c r="J326" t="s">
        <v>1638</v>
      </c>
      <c r="K326" t="str">
        <f>IF(A7&gt;0,REPLACE(J326,16,3,A7),"")</f>
        <v/>
      </c>
    </row>
    <row r="327" spans="10:11" x14ac:dyDescent="0.25">
      <c r="J327" t="s">
        <v>1639</v>
      </c>
      <c r="K327" t="str">
        <f>IF(A8&gt;0,REPLACE(J327,16,3,A8),"")</f>
        <v/>
      </c>
    </row>
    <row r="328" spans="10:11" x14ac:dyDescent="0.25">
      <c r="J328" t="s">
        <v>1640</v>
      </c>
      <c r="K328" t="str">
        <f>IF(A9&gt;0,REPLACE(J328,16,3,A9),"")</f>
        <v/>
      </c>
    </row>
    <row r="329" spans="10:11" x14ac:dyDescent="0.25">
      <c r="J329" t="s">
        <v>1641</v>
      </c>
      <c r="K329" t="str">
        <f>IF(A10&gt;0,REPLACE(J329,16,3,A10),"")</f>
        <v/>
      </c>
    </row>
    <row r="330" spans="10:11" x14ac:dyDescent="0.25">
      <c r="J330" t="s">
        <v>1642</v>
      </c>
      <c r="K330" t="str">
        <f>IF(A11&gt;0,REPLACE(J330,16,3,A11),"")</f>
        <v/>
      </c>
    </row>
    <row r="331" spans="10:11" x14ac:dyDescent="0.25">
      <c r="J331" t="s">
        <v>1643</v>
      </c>
      <c r="K331" t="str">
        <f>IF(A12&gt;0,REPLACE(J331,16,3,A12),"")</f>
        <v/>
      </c>
    </row>
    <row r="332" spans="10:11" x14ac:dyDescent="0.25">
      <c r="J332" t="s">
        <v>1644</v>
      </c>
      <c r="K332" t="str">
        <f>IF(A13&gt;0,REPLACE(J332,17,4,A13),"")</f>
        <v/>
      </c>
    </row>
    <row r="333" spans="10:11" x14ac:dyDescent="0.25">
      <c r="J333" t="s">
        <v>1645</v>
      </c>
      <c r="K333" t="str">
        <f>IF(A14&gt;0,REPLACE(J333,17,4,A14),"")</f>
        <v/>
      </c>
    </row>
    <row r="334" spans="10:11" x14ac:dyDescent="0.25">
      <c r="J334" t="s">
        <v>1646</v>
      </c>
      <c r="K334" t="str">
        <f>IF(A15&gt;0,REPLACE(J334,17,4,A15),"")</f>
        <v/>
      </c>
    </row>
    <row r="335" spans="10:11" x14ac:dyDescent="0.25">
      <c r="J335" t="s">
        <v>1647</v>
      </c>
      <c r="K335" t="str">
        <f>IF(A16&gt;0,REPLACE(J335,17,4,A16),"")</f>
        <v/>
      </c>
    </row>
    <row r="336" spans="10:11" x14ac:dyDescent="0.25">
      <c r="J336" t="s">
        <v>1648</v>
      </c>
      <c r="K336" t="str">
        <f>IF(A17&gt;0,REPLACE(J336,17,4,A17),"")</f>
        <v/>
      </c>
    </row>
    <row r="337" spans="10:11" x14ac:dyDescent="0.25">
      <c r="J337" t="s">
        <v>1649</v>
      </c>
      <c r="K337" t="str">
        <f>IF(A18&gt;0,REPLACE(J337,17,4,A18),"")</f>
        <v/>
      </c>
    </row>
    <row r="338" spans="10:11" x14ac:dyDescent="0.25">
      <c r="J338" t="s">
        <v>1650</v>
      </c>
      <c r="K338" t="str">
        <f>REPLACE(IF(B2&gt;0,REPLACE(J338,54,8,B2),""),21,3,I2)</f>
        <v>&lt;em&gt;5.6.2.2. Canada ABC Market Size and Forecast, by BB (2024-2032)&lt;/em&gt;</v>
      </c>
    </row>
    <row r="339" spans="10:11" x14ac:dyDescent="0.25">
      <c r="J339" t="s">
        <v>1651</v>
      </c>
      <c r="K339" t="str">
        <f>IF(B4&gt;0,REPLACE(J339,16,3,B4),"")</f>
        <v/>
      </c>
    </row>
    <row r="340" spans="10:11" x14ac:dyDescent="0.25">
      <c r="J340" t="s">
        <v>1652</v>
      </c>
      <c r="K340" t="str">
        <f>IF(B5&gt;0,REPLACE(J340,16,3,B5),"")</f>
        <v/>
      </c>
    </row>
    <row r="341" spans="10:11" x14ac:dyDescent="0.25">
      <c r="J341" t="s">
        <v>1653</v>
      </c>
      <c r="K341" t="str">
        <f>IF(B6&gt;0,REPLACE(J341,16,3,B6),"")</f>
        <v/>
      </c>
    </row>
    <row r="342" spans="10:11" x14ac:dyDescent="0.25">
      <c r="J342" t="s">
        <v>1654</v>
      </c>
      <c r="K342" t="str">
        <f>IF(B7&gt;0,REPLACE(J342,16,3,B7),"")</f>
        <v/>
      </c>
    </row>
    <row r="343" spans="10:11" x14ac:dyDescent="0.25">
      <c r="J343" t="s">
        <v>1655</v>
      </c>
      <c r="K343" t="str">
        <f>IF(B8&gt;0,REPLACE(J343,16,3,B8),"")</f>
        <v/>
      </c>
    </row>
    <row r="344" spans="10:11" x14ac:dyDescent="0.25">
      <c r="J344" t="s">
        <v>1656</v>
      </c>
      <c r="K344" t="str">
        <f>IF(B9&gt;0,REPLACE(J344,16,3,B9),"")</f>
        <v/>
      </c>
    </row>
    <row r="345" spans="10:11" x14ac:dyDescent="0.25">
      <c r="J345" t="s">
        <v>1657</v>
      </c>
      <c r="K345" t="str">
        <f>IF(B10&gt;0,REPLACE(J345,16,3,B10),"")</f>
        <v/>
      </c>
    </row>
    <row r="346" spans="10:11" x14ac:dyDescent="0.25">
      <c r="J346" t="s">
        <v>1658</v>
      </c>
      <c r="K346" t="str">
        <f>IF(B11&gt;0,REPLACE(J346,16,3,B11),"")</f>
        <v/>
      </c>
    </row>
    <row r="347" spans="10:11" x14ac:dyDescent="0.25">
      <c r="J347" t="s">
        <v>1659</v>
      </c>
      <c r="K347" t="str">
        <f>IF(B12&gt;0,REPLACE(J347,16,3,B12),"")</f>
        <v/>
      </c>
    </row>
    <row r="348" spans="10:11" x14ac:dyDescent="0.25">
      <c r="J348" t="s">
        <v>1660</v>
      </c>
      <c r="K348" t="str">
        <f>IF(B13&gt;0,REPLACE(J348,17,4,B13),"")</f>
        <v/>
      </c>
    </row>
    <row r="349" spans="10:11" x14ac:dyDescent="0.25">
      <c r="J349" t="s">
        <v>1661</v>
      </c>
      <c r="K349" t="str">
        <f>IF(B14&gt;0,REPLACE(J349,17,4,B14),"")</f>
        <v/>
      </c>
    </row>
    <row r="350" spans="10:11" x14ac:dyDescent="0.25">
      <c r="J350" t="s">
        <v>1662</v>
      </c>
      <c r="K350" t="str">
        <f>IF(B15&gt;0,REPLACE(J350,17,4,B15),"")</f>
        <v/>
      </c>
    </row>
    <row r="351" spans="10:11" x14ac:dyDescent="0.25">
      <c r="J351" t="s">
        <v>1663</v>
      </c>
      <c r="K351" t="str">
        <f>IF(B16&gt;0,REPLACE(J351,17,4,B16),"")</f>
        <v/>
      </c>
    </row>
    <row r="352" spans="10:11" x14ac:dyDescent="0.25">
      <c r="J352" t="s">
        <v>1664</v>
      </c>
      <c r="K352" t="str">
        <f>IF(B17&gt;0,REPLACE(J352,17,4,B17),"")</f>
        <v/>
      </c>
    </row>
    <row r="353" spans="10:11" x14ac:dyDescent="0.25">
      <c r="J353" t="s">
        <v>1665</v>
      </c>
      <c r="K353" t="str">
        <f>IF(B18&gt;0,REPLACE(J353,17,4,B18),"")</f>
        <v/>
      </c>
    </row>
    <row r="354" spans="10:11" x14ac:dyDescent="0.25">
      <c r="J354" t="s">
        <v>1666</v>
      </c>
      <c r="K354" t="str">
        <f>REPLACE(IF(C2&gt;0,REPLACE(J354,54,8,C2),""),21,3,I2)</f>
        <v>&lt;em&gt;5.6.2.3. Canada ABC Market Size and Forecast, by CC (2024-2032)&lt;/em&gt;</v>
      </c>
    </row>
    <row r="355" spans="10:11" x14ac:dyDescent="0.25">
      <c r="J355" t="s">
        <v>1667</v>
      </c>
      <c r="K355" t="str">
        <f>IF(C4&gt;0,REPLACE(J355,16,3,C4),"")</f>
        <v/>
      </c>
    </row>
    <row r="356" spans="10:11" x14ac:dyDescent="0.25">
      <c r="J356" t="s">
        <v>1668</v>
      </c>
      <c r="K356" t="str">
        <f>IF(C5&gt;0,REPLACE(J356,16,3,C5),"")</f>
        <v/>
      </c>
    </row>
    <row r="357" spans="10:11" x14ac:dyDescent="0.25">
      <c r="J357" t="s">
        <v>1669</v>
      </c>
      <c r="K357" t="str">
        <f>IF(C6&gt;0,REPLACE(J357,16,3,C6),"")</f>
        <v/>
      </c>
    </row>
    <row r="358" spans="10:11" x14ac:dyDescent="0.25">
      <c r="J358" t="s">
        <v>1670</v>
      </c>
      <c r="K358" t="str">
        <f>IF(C7&gt;0,REPLACE(J358,16,3,C7),"")</f>
        <v/>
      </c>
    </row>
    <row r="359" spans="10:11" x14ac:dyDescent="0.25">
      <c r="J359" t="s">
        <v>1671</v>
      </c>
      <c r="K359" t="str">
        <f>IF(C8&gt;0,REPLACE(J359,16,3,C8),"")</f>
        <v/>
      </c>
    </row>
    <row r="360" spans="10:11" x14ac:dyDescent="0.25">
      <c r="J360" t="s">
        <v>1672</v>
      </c>
      <c r="K360" t="str">
        <f>IF(C9&gt;0,REPLACE(J360,16,3,C9),"")</f>
        <v/>
      </c>
    </row>
    <row r="361" spans="10:11" x14ac:dyDescent="0.25">
      <c r="J361" t="s">
        <v>1673</v>
      </c>
      <c r="K361" t="str">
        <f>IF(C10&gt;0,REPLACE(J361,16,3,C10),"")</f>
        <v/>
      </c>
    </row>
    <row r="362" spans="10:11" x14ac:dyDescent="0.25">
      <c r="J362" t="s">
        <v>1674</v>
      </c>
      <c r="K362" t="str">
        <f>IF(C11&gt;0,REPLACE(J362,16,3,C11),"")</f>
        <v/>
      </c>
    </row>
    <row r="363" spans="10:11" x14ac:dyDescent="0.25">
      <c r="J363" t="s">
        <v>1675</v>
      </c>
      <c r="K363" t="str">
        <f>IF(C12&gt;0,REPLACE(J363,16,3,C12),"")</f>
        <v/>
      </c>
    </row>
    <row r="364" spans="10:11" x14ac:dyDescent="0.25">
      <c r="J364" t="s">
        <v>1676</v>
      </c>
      <c r="K364" t="str">
        <f>IF(C13&gt;0,REPLACE(J364,17,4,C13),"")</f>
        <v/>
      </c>
    </row>
    <row r="365" spans="10:11" x14ac:dyDescent="0.25">
      <c r="J365" t="s">
        <v>1677</v>
      </c>
      <c r="K365" t="str">
        <f>IF(C14&gt;0,REPLACE(J365,17,4,C14),"")</f>
        <v/>
      </c>
    </row>
    <row r="366" spans="10:11" x14ac:dyDescent="0.25">
      <c r="J366" t="s">
        <v>1678</v>
      </c>
      <c r="K366" t="str">
        <f>IF(C15&gt;0,REPLACE(J366,17,4,C15),"")</f>
        <v/>
      </c>
    </row>
    <row r="367" spans="10:11" x14ac:dyDescent="0.25">
      <c r="J367" t="s">
        <v>1679</v>
      </c>
      <c r="K367" t="str">
        <f>IF(C16&gt;0,REPLACE(J367,17,4,C16),"")</f>
        <v/>
      </c>
    </row>
    <row r="368" spans="10:11" x14ac:dyDescent="0.25">
      <c r="J368" t="s">
        <v>1680</v>
      </c>
      <c r="K368" t="str">
        <f>IF(C17&gt;0,REPLACE(J368,17,4,C17),"")</f>
        <v/>
      </c>
    </row>
    <row r="369" spans="10:11" x14ac:dyDescent="0.25">
      <c r="J369" t="s">
        <v>1681</v>
      </c>
      <c r="K369" t="str">
        <f>IF(C18&gt;0,REPLACE(J369,17,4,C18),"")</f>
        <v/>
      </c>
    </row>
    <row r="370" spans="10:11" x14ac:dyDescent="0.25">
      <c r="J370" t="s">
        <v>1682</v>
      </c>
      <c r="K370" t="str">
        <f>REPLACE(IF(D2&gt;0,REPLACE(J370,54,8,D2),""),21,3,I2)</f>
        <v>&lt;em&gt;5.6.2.4. Canada ABC Market Size and Forecast, by DD (2024-2032)&lt;/em&gt;</v>
      </c>
    </row>
    <row r="371" spans="10:11" x14ac:dyDescent="0.25">
      <c r="J371" t="s">
        <v>1683</v>
      </c>
      <c r="K371" t="str">
        <f>IF(D4&gt;0,REPLACE(J371,16,3,D4),"")</f>
        <v/>
      </c>
    </row>
    <row r="372" spans="10:11" x14ac:dyDescent="0.25">
      <c r="J372" t="s">
        <v>1684</v>
      </c>
      <c r="K372" t="str">
        <f>IF(D5&gt;0,REPLACE(J372,16,3,D5),"")</f>
        <v/>
      </c>
    </row>
    <row r="373" spans="10:11" x14ac:dyDescent="0.25">
      <c r="J373" t="s">
        <v>1685</v>
      </c>
      <c r="K373" t="str">
        <f>IF(D6&gt;0,REPLACE(J373,16,3,D6),"")</f>
        <v/>
      </c>
    </row>
    <row r="374" spans="10:11" x14ac:dyDescent="0.25">
      <c r="J374" t="s">
        <v>1686</v>
      </c>
      <c r="K374" t="str">
        <f>IF(D7&gt;0,REPLACE(J374,16,3,D7),"")</f>
        <v/>
      </c>
    </row>
    <row r="375" spans="10:11" x14ac:dyDescent="0.25">
      <c r="J375" t="s">
        <v>1687</v>
      </c>
      <c r="K375" t="str">
        <f>IF(D8&gt;0,REPLACE(J375,16,3,D8),"")</f>
        <v/>
      </c>
    </row>
    <row r="376" spans="10:11" x14ac:dyDescent="0.25">
      <c r="J376" t="s">
        <v>1688</v>
      </c>
      <c r="K376" t="str">
        <f>IF(D9&gt;0,REPLACE(J376,16,3,D9),"")</f>
        <v/>
      </c>
    </row>
    <row r="377" spans="10:11" x14ac:dyDescent="0.25">
      <c r="J377" t="s">
        <v>1689</v>
      </c>
      <c r="K377" t="str">
        <f>IF(D10&gt;0,REPLACE(J377,16,3,D10),"")</f>
        <v/>
      </c>
    </row>
    <row r="378" spans="10:11" x14ac:dyDescent="0.25">
      <c r="J378" t="s">
        <v>1690</v>
      </c>
      <c r="K378" t="str">
        <f>IF(D11&gt;0,REPLACE(J378,16,3,D11),"")</f>
        <v/>
      </c>
    </row>
    <row r="379" spans="10:11" x14ac:dyDescent="0.25">
      <c r="J379" t="s">
        <v>1691</v>
      </c>
      <c r="K379" t="str">
        <f>IF(D12&gt;0,REPLACE(J379,16,3,D12),"")</f>
        <v/>
      </c>
    </row>
    <row r="380" spans="10:11" x14ac:dyDescent="0.25">
      <c r="J380" t="s">
        <v>1692</v>
      </c>
      <c r="K380" t="str">
        <f>IF(D13&gt;0,REPLACE(J380,17,4,D13),"")</f>
        <v/>
      </c>
    </row>
    <row r="381" spans="10:11" x14ac:dyDescent="0.25">
      <c r="J381" t="s">
        <v>1693</v>
      </c>
      <c r="K381" t="str">
        <f>IF(D14&gt;0,REPLACE(J381,17,4,D14),"")</f>
        <v/>
      </c>
    </row>
    <row r="382" spans="10:11" x14ac:dyDescent="0.25">
      <c r="J382" t="s">
        <v>1694</v>
      </c>
      <c r="K382" t="str">
        <f>IF(D15&gt;0,REPLACE(J382,17,4,D15),"")</f>
        <v/>
      </c>
    </row>
    <row r="383" spans="10:11" x14ac:dyDescent="0.25">
      <c r="J383" t="s">
        <v>1695</v>
      </c>
      <c r="K383" t="str">
        <f>IF(D16&gt;0,REPLACE(J383,17,4,D16),"")</f>
        <v/>
      </c>
    </row>
    <row r="384" spans="10:11" x14ac:dyDescent="0.25">
      <c r="J384" t="s">
        <v>1696</v>
      </c>
      <c r="K384" t="str">
        <f>IF(D17&gt;0,REPLACE(J384,17,4,D17),"")</f>
        <v/>
      </c>
    </row>
    <row r="385" spans="10:11" x14ac:dyDescent="0.25">
      <c r="J385" t="s">
        <v>1697</v>
      </c>
      <c r="K385" t="str">
        <f>IF(D18&gt;0,REPLACE(J385,17,4,D18),"")</f>
        <v/>
      </c>
    </row>
    <row r="386" spans="10:11" x14ac:dyDescent="0.25">
      <c r="J386" t="s">
        <v>1698</v>
      </c>
      <c r="K386" t="str">
        <f>REPLACE(IF(E2&gt;0,REPLACE(J386,54,8,E2),""),21,3,I2)</f>
        <v>&lt;em&gt;5.6.2.5. Canada ABC Market Size and Forecast, by EE (2024-2032)&lt;/em&gt;</v>
      </c>
    </row>
    <row r="387" spans="10:11" x14ac:dyDescent="0.25">
      <c r="J387" t="s">
        <v>1699</v>
      </c>
      <c r="K387" t="str">
        <f>IF(E4&gt;0,REPLACE(J387,16,3,E4),"")</f>
        <v/>
      </c>
    </row>
    <row r="388" spans="10:11" x14ac:dyDescent="0.25">
      <c r="J388" t="s">
        <v>1700</v>
      </c>
      <c r="K388" t="str">
        <f>IF(E5&gt;0,REPLACE(J388,16,3,E5),"")</f>
        <v/>
      </c>
    </row>
    <row r="389" spans="10:11" x14ac:dyDescent="0.25">
      <c r="J389" t="s">
        <v>1701</v>
      </c>
      <c r="K389" t="str">
        <f>IF(E6&gt;0,REPLACE(J389,16,3,E6),"")</f>
        <v/>
      </c>
    </row>
    <row r="390" spans="10:11" x14ac:dyDescent="0.25">
      <c r="J390" t="s">
        <v>1702</v>
      </c>
      <c r="K390" t="str">
        <f>IF(E7&gt;0,REPLACE(J390,16,3,E7),"")</f>
        <v/>
      </c>
    </row>
    <row r="391" spans="10:11" x14ac:dyDescent="0.25">
      <c r="J391" t="s">
        <v>1703</v>
      </c>
      <c r="K391" t="str">
        <f>IF(E8&gt;0,REPLACE(J391,16,3,E8),"")</f>
        <v/>
      </c>
    </row>
    <row r="392" spans="10:11" x14ac:dyDescent="0.25">
      <c r="J392" t="s">
        <v>1704</v>
      </c>
      <c r="K392" t="str">
        <f>IF(E9&gt;0,REPLACE(J392,16,3,E9),"")</f>
        <v/>
      </c>
    </row>
    <row r="393" spans="10:11" x14ac:dyDescent="0.25">
      <c r="J393" t="s">
        <v>1705</v>
      </c>
      <c r="K393" t="str">
        <f>IF(E10&gt;0,REPLACE(J393,16,3,E10),"")</f>
        <v/>
      </c>
    </row>
    <row r="394" spans="10:11" x14ac:dyDescent="0.25">
      <c r="J394" t="s">
        <v>1706</v>
      </c>
      <c r="K394" t="str">
        <f>IF(E11&gt;0,REPLACE(J394,16,3,E11),"")</f>
        <v/>
      </c>
    </row>
    <row r="395" spans="10:11" x14ac:dyDescent="0.25">
      <c r="J395" t="s">
        <v>1707</v>
      </c>
      <c r="K395" t="str">
        <f>IF(E12&gt;0,REPLACE(J395,16,3,E12),"")</f>
        <v/>
      </c>
    </row>
    <row r="396" spans="10:11" x14ac:dyDescent="0.25">
      <c r="J396" t="s">
        <v>1708</v>
      </c>
      <c r="K396" t="str">
        <f>IF(E13&gt;0,REPLACE(J396,17,4,E13),"")</f>
        <v/>
      </c>
    </row>
    <row r="397" spans="10:11" x14ac:dyDescent="0.25">
      <c r="J397" t="s">
        <v>1709</v>
      </c>
      <c r="K397" t="str">
        <f>IF(E14&gt;0,REPLACE(J397,17,4,E14),"")</f>
        <v/>
      </c>
    </row>
    <row r="398" spans="10:11" x14ac:dyDescent="0.25">
      <c r="J398" t="s">
        <v>1710</v>
      </c>
      <c r="K398" t="str">
        <f>IF(E15&gt;0,REPLACE(J398,17,4,E15),"")</f>
        <v/>
      </c>
    </row>
    <row r="399" spans="10:11" x14ac:dyDescent="0.25">
      <c r="J399" t="s">
        <v>1711</v>
      </c>
      <c r="K399" t="str">
        <f>IF(E16&gt;0,REPLACE(J399,17,4,E16),"")</f>
        <v/>
      </c>
    </row>
    <row r="400" spans="10:11" x14ac:dyDescent="0.25">
      <c r="J400" t="s">
        <v>1712</v>
      </c>
      <c r="K400" t="str">
        <f>IF(E17&gt;0,REPLACE(J400,17,4,E17),"")</f>
        <v/>
      </c>
    </row>
    <row r="401" spans="10:11" x14ac:dyDescent="0.25">
      <c r="J401" t="s">
        <v>1713</v>
      </c>
      <c r="K401" t="str">
        <f>IF(E18&gt;0,REPLACE(J401,17,4,E18),"")</f>
        <v/>
      </c>
    </row>
    <row r="402" spans="10:11" x14ac:dyDescent="0.25">
      <c r="J402" t="s">
        <v>1714</v>
      </c>
      <c r="K402" t="str">
        <f>J402</f>
        <v>&lt;strong&gt;&lt;em&gt;5.6.3. Mexico&lt;/em&gt;&lt;/strong&gt;</v>
      </c>
    </row>
    <row r="403" spans="10:11" x14ac:dyDescent="0.25">
      <c r="J403" t="s">
        <v>1715</v>
      </c>
      <c r="K403" t="str">
        <f>REPLACE(IF(A2&gt;0,REPLACE(J403,54,8,A2),""),21,3,I2)</f>
        <v>&lt;em&gt;5.6.3.1. Mexico ABC Market Size and Forecast, by AA (2024-2032)&lt;/em&gt;</v>
      </c>
    </row>
    <row r="404" spans="10:11" x14ac:dyDescent="0.25">
      <c r="J404" t="s">
        <v>1716</v>
      </c>
      <c r="K404" t="str">
        <f>IF(A4&gt;0,REPLACE(J404,16,3,A4),"")</f>
        <v/>
      </c>
    </row>
    <row r="405" spans="10:11" x14ac:dyDescent="0.25">
      <c r="J405" t="s">
        <v>1717</v>
      </c>
      <c r="K405" t="str">
        <f>IF(A5&gt;0,REPLACE(J405,16,3,A5),"")</f>
        <v/>
      </c>
    </row>
    <row r="406" spans="10:11" x14ac:dyDescent="0.25">
      <c r="J406" t="s">
        <v>1718</v>
      </c>
      <c r="K406" t="str">
        <f>IF(A6&gt;0,REPLACE(J406,16,3,A6),"")</f>
        <v/>
      </c>
    </row>
    <row r="407" spans="10:11" x14ac:dyDescent="0.25">
      <c r="J407" t="s">
        <v>1719</v>
      </c>
      <c r="K407" t="str">
        <f>IF(A7&gt;0,REPLACE(J407,16,3,A7),"")</f>
        <v/>
      </c>
    </row>
    <row r="408" spans="10:11" x14ac:dyDescent="0.25">
      <c r="J408" t="s">
        <v>1720</v>
      </c>
      <c r="K408" t="str">
        <f>IF(A8&gt;0,REPLACE(J408,16,3,A8),"")</f>
        <v/>
      </c>
    </row>
    <row r="409" spans="10:11" x14ac:dyDescent="0.25">
      <c r="J409" t="s">
        <v>1721</v>
      </c>
      <c r="K409" t="str">
        <f>IF(A9&gt;0,REPLACE(J409,16,3,A9),"")</f>
        <v/>
      </c>
    </row>
    <row r="410" spans="10:11" x14ac:dyDescent="0.25">
      <c r="J410" t="s">
        <v>1722</v>
      </c>
      <c r="K410" t="str">
        <f>IF(A10&gt;0,REPLACE(J410,16,3,A10),"")</f>
        <v/>
      </c>
    </row>
    <row r="411" spans="10:11" x14ac:dyDescent="0.25">
      <c r="J411" t="s">
        <v>1723</v>
      </c>
      <c r="K411" t="str">
        <f>IF(A11&gt;0,REPLACE(J411,16,3,A11),"")</f>
        <v/>
      </c>
    </row>
    <row r="412" spans="10:11" x14ac:dyDescent="0.25">
      <c r="J412" t="s">
        <v>1724</v>
      </c>
      <c r="K412" t="str">
        <f>IF(A12&gt;0,REPLACE(J412,16,3,A12),"")</f>
        <v/>
      </c>
    </row>
    <row r="413" spans="10:11" x14ac:dyDescent="0.25">
      <c r="J413" t="s">
        <v>1725</v>
      </c>
      <c r="K413" t="str">
        <f>IF(A13&gt;0,REPLACE(J413,17,4,A13),"")</f>
        <v/>
      </c>
    </row>
    <row r="414" spans="10:11" x14ac:dyDescent="0.25">
      <c r="J414" t="s">
        <v>1726</v>
      </c>
      <c r="K414" t="str">
        <f>IF(A14&gt;0,REPLACE(J414,17,4,A14),"")</f>
        <v/>
      </c>
    </row>
    <row r="415" spans="10:11" x14ac:dyDescent="0.25">
      <c r="J415" t="s">
        <v>1727</v>
      </c>
      <c r="K415" t="str">
        <f>IF(A15&gt;0,REPLACE(J415,17,4,A15),"")</f>
        <v/>
      </c>
    </row>
    <row r="416" spans="10:11" x14ac:dyDescent="0.25">
      <c r="J416" t="s">
        <v>1728</v>
      </c>
      <c r="K416" t="str">
        <f>IF(A16&gt;0,REPLACE(J416,17,4,A16),"")</f>
        <v/>
      </c>
    </row>
    <row r="417" spans="10:11" x14ac:dyDescent="0.25">
      <c r="J417" t="s">
        <v>1729</v>
      </c>
      <c r="K417" t="str">
        <f>IF(A17&gt;0,REPLACE(J417,17,4,A17),"")</f>
        <v/>
      </c>
    </row>
    <row r="418" spans="10:11" x14ac:dyDescent="0.25">
      <c r="J418" t="s">
        <v>1730</v>
      </c>
      <c r="K418" t="str">
        <f>IF(A18&gt;0,REPLACE(J418,17,4,A18),"")</f>
        <v/>
      </c>
    </row>
    <row r="419" spans="10:11" x14ac:dyDescent="0.25">
      <c r="J419" t="s">
        <v>1731</v>
      </c>
      <c r="K419" t="str">
        <f>REPLACE(IF(B2&gt;0,REPLACE(J419,54,8,B2),""),21,3,I2)</f>
        <v>&lt;em&gt;5.6.3.2. Mexico ABC Market Size and Forecast, by BB (2024-2032)&lt;/em&gt;</v>
      </c>
    </row>
    <row r="420" spans="10:11" x14ac:dyDescent="0.25">
      <c r="J420" t="s">
        <v>1732</v>
      </c>
      <c r="K420" t="str">
        <f>IF(B4&gt;0,REPLACE(J420,16,3,B4),"")</f>
        <v/>
      </c>
    </row>
    <row r="421" spans="10:11" x14ac:dyDescent="0.25">
      <c r="J421" t="s">
        <v>1733</v>
      </c>
      <c r="K421" t="str">
        <f>IF(B5&gt;0,REPLACE(J421,16,3,B5),"")</f>
        <v/>
      </c>
    </row>
    <row r="422" spans="10:11" x14ac:dyDescent="0.25">
      <c r="J422" t="s">
        <v>1734</v>
      </c>
      <c r="K422" t="str">
        <f>IF(B6&gt;0,REPLACE(J422,16,3,B6),"")</f>
        <v/>
      </c>
    </row>
    <row r="423" spans="10:11" x14ac:dyDescent="0.25">
      <c r="J423" t="s">
        <v>1735</v>
      </c>
      <c r="K423" t="str">
        <f>IF(B7&gt;0,REPLACE(J423,16,3,B7),"")</f>
        <v/>
      </c>
    </row>
    <row r="424" spans="10:11" x14ac:dyDescent="0.25">
      <c r="J424" t="s">
        <v>1736</v>
      </c>
      <c r="K424" t="str">
        <f>IF(B8&gt;0,REPLACE(J424,16,3,B8),"")</f>
        <v/>
      </c>
    </row>
    <row r="425" spans="10:11" x14ac:dyDescent="0.25">
      <c r="J425" t="s">
        <v>1737</v>
      </c>
      <c r="K425" t="str">
        <f>IF(B9&gt;0,REPLACE(J425,16,3,B9),"")</f>
        <v/>
      </c>
    </row>
    <row r="426" spans="10:11" x14ac:dyDescent="0.25">
      <c r="J426" t="s">
        <v>1738</v>
      </c>
      <c r="K426" t="str">
        <f>IF(B10&gt;0,REPLACE(J426,16,3,B10),"")</f>
        <v/>
      </c>
    </row>
    <row r="427" spans="10:11" x14ac:dyDescent="0.25">
      <c r="J427" t="s">
        <v>1739</v>
      </c>
      <c r="K427" t="str">
        <f>IF(B11&gt;0,REPLACE(J427,16,3,B11),"")</f>
        <v/>
      </c>
    </row>
    <row r="428" spans="10:11" x14ac:dyDescent="0.25">
      <c r="J428" t="s">
        <v>1740</v>
      </c>
      <c r="K428" t="str">
        <f>IF(B12&gt;0,REPLACE(J428,16,3,B12),"")</f>
        <v/>
      </c>
    </row>
    <row r="429" spans="10:11" x14ac:dyDescent="0.25">
      <c r="J429" t="s">
        <v>1741</v>
      </c>
      <c r="K429" t="str">
        <f>IF(B13&gt;0,REPLACE(J429,17,4,B13),"")</f>
        <v/>
      </c>
    </row>
    <row r="430" spans="10:11" x14ac:dyDescent="0.25">
      <c r="J430" t="s">
        <v>1742</v>
      </c>
      <c r="K430" t="str">
        <f>IF(B14&gt;0,REPLACE(J430,17,4,B14),"")</f>
        <v/>
      </c>
    </row>
    <row r="431" spans="10:11" x14ac:dyDescent="0.25">
      <c r="J431" t="s">
        <v>1743</v>
      </c>
      <c r="K431" t="str">
        <f>IF(B15&gt;0,REPLACE(J431,17,4,B15),"")</f>
        <v/>
      </c>
    </row>
    <row r="432" spans="10:11" x14ac:dyDescent="0.25">
      <c r="J432" t="s">
        <v>1744</v>
      </c>
      <c r="K432" t="str">
        <f>IF(B16&gt;0,REPLACE(J432,17,4,B16),"")</f>
        <v/>
      </c>
    </row>
    <row r="433" spans="10:11" x14ac:dyDescent="0.25">
      <c r="J433" t="s">
        <v>1745</v>
      </c>
      <c r="K433" t="str">
        <f>IF(B17&gt;0,REPLACE(J433,17,4,B17),"")</f>
        <v/>
      </c>
    </row>
    <row r="434" spans="10:11" x14ac:dyDescent="0.25">
      <c r="J434" t="s">
        <v>1746</v>
      </c>
      <c r="K434" t="str">
        <f>IF(B18&gt;0,REPLACE(J434,17,4,B18),"")</f>
        <v/>
      </c>
    </row>
    <row r="435" spans="10:11" x14ac:dyDescent="0.25">
      <c r="J435" t="s">
        <v>1747</v>
      </c>
      <c r="K435" t="str">
        <f>REPLACE(IF(C2&gt;0,REPLACE(J435,54,8,C2),""),21,3,I2)</f>
        <v>&lt;em&gt;5.6.3.3. Mexico ABC Market Size and Forecast, by CC (2024-2032)&lt;/em&gt;</v>
      </c>
    </row>
    <row r="436" spans="10:11" x14ac:dyDescent="0.25">
      <c r="J436" t="s">
        <v>1748</v>
      </c>
      <c r="K436" t="str">
        <f>IF(C4&gt;0,REPLACE(J436,16,3,C4),"")</f>
        <v/>
      </c>
    </row>
    <row r="437" spans="10:11" x14ac:dyDescent="0.25">
      <c r="J437" t="s">
        <v>1749</v>
      </c>
      <c r="K437" t="str">
        <f>IF(C5&gt;0,REPLACE(J437,16,3,C5),"")</f>
        <v/>
      </c>
    </row>
    <row r="438" spans="10:11" x14ac:dyDescent="0.25">
      <c r="J438" t="s">
        <v>1750</v>
      </c>
      <c r="K438" t="str">
        <f>IF(C6&gt;0,REPLACE(J438,16,3,C6),"")</f>
        <v/>
      </c>
    </row>
    <row r="439" spans="10:11" x14ac:dyDescent="0.25">
      <c r="J439" t="s">
        <v>1751</v>
      </c>
      <c r="K439" t="str">
        <f>IF(C7&gt;0,REPLACE(J439,16,3,C7),"")</f>
        <v/>
      </c>
    </row>
    <row r="440" spans="10:11" x14ac:dyDescent="0.25">
      <c r="J440" t="s">
        <v>1752</v>
      </c>
      <c r="K440" t="str">
        <f>IF(C8&gt;0,REPLACE(J440,16,3,C8),"")</f>
        <v/>
      </c>
    </row>
    <row r="441" spans="10:11" x14ac:dyDescent="0.25">
      <c r="J441" t="s">
        <v>1753</v>
      </c>
      <c r="K441" t="str">
        <f>IF(C9&gt;0,REPLACE(J441,16,3,C9),"")</f>
        <v/>
      </c>
    </row>
    <row r="442" spans="10:11" x14ac:dyDescent="0.25">
      <c r="J442" t="s">
        <v>1754</v>
      </c>
      <c r="K442" t="str">
        <f>IF(C10&gt;0,REPLACE(J442,16,3,C10),"")</f>
        <v/>
      </c>
    </row>
    <row r="443" spans="10:11" x14ac:dyDescent="0.25">
      <c r="J443" t="s">
        <v>1755</v>
      </c>
      <c r="K443" t="str">
        <f>IF(C11&gt;0,REPLACE(J443,16,3,C11),"")</f>
        <v/>
      </c>
    </row>
    <row r="444" spans="10:11" x14ac:dyDescent="0.25">
      <c r="J444" t="s">
        <v>1756</v>
      </c>
      <c r="K444" t="str">
        <f>IF(C12&gt;0,REPLACE(J444,16,3,C12),"")</f>
        <v/>
      </c>
    </row>
    <row r="445" spans="10:11" x14ac:dyDescent="0.25">
      <c r="J445" t="s">
        <v>1757</v>
      </c>
      <c r="K445" t="str">
        <f>IF(C13&gt;0,REPLACE(J445,17,4,C13),"")</f>
        <v/>
      </c>
    </row>
    <row r="446" spans="10:11" x14ac:dyDescent="0.25">
      <c r="J446" t="s">
        <v>1758</v>
      </c>
      <c r="K446" t="str">
        <f>IF(C14&gt;0,REPLACE(J446,17,4,C14),"")</f>
        <v/>
      </c>
    </row>
    <row r="447" spans="10:11" x14ac:dyDescent="0.25">
      <c r="J447" t="s">
        <v>1759</v>
      </c>
      <c r="K447" t="str">
        <f>IF(C15&gt;0,REPLACE(J447,17,4,C15),"")</f>
        <v/>
      </c>
    </row>
    <row r="448" spans="10:11" x14ac:dyDescent="0.25">
      <c r="J448" t="s">
        <v>1760</v>
      </c>
      <c r="K448" t="str">
        <f>IF(C16&gt;0,REPLACE(J448,17,4,C16),"")</f>
        <v/>
      </c>
    </row>
    <row r="449" spans="10:11" x14ac:dyDescent="0.25">
      <c r="J449" t="s">
        <v>1761</v>
      </c>
      <c r="K449" t="str">
        <f>IF(C17&gt;0,REPLACE(J449,17,4,C17),"")</f>
        <v/>
      </c>
    </row>
    <row r="450" spans="10:11" x14ac:dyDescent="0.25">
      <c r="J450" t="s">
        <v>1762</v>
      </c>
      <c r="K450" t="str">
        <f>IF(C18&gt;0,REPLACE(J450,17,4,C18),"")</f>
        <v/>
      </c>
    </row>
    <row r="451" spans="10:11" x14ac:dyDescent="0.25">
      <c r="J451" t="s">
        <v>1763</v>
      </c>
      <c r="K451" t="str">
        <f>REPLACE(IF(D2&gt;0,REPLACE(J451,54,8,D2),""),21,3,I2)</f>
        <v>&lt;em&gt;5.6.3.4. Mexico ABC Market Size and Forecast, by DD (2024-2032)&lt;/em&gt;</v>
      </c>
    </row>
    <row r="452" spans="10:11" x14ac:dyDescent="0.25">
      <c r="J452" t="s">
        <v>1764</v>
      </c>
      <c r="K452" t="str">
        <f>IF(D4&gt;0,REPLACE(J452,16,3,D4),"")</f>
        <v/>
      </c>
    </row>
    <row r="453" spans="10:11" x14ac:dyDescent="0.25">
      <c r="J453" t="s">
        <v>1765</v>
      </c>
      <c r="K453" t="str">
        <f>IF(D5&gt;0,REPLACE(J453,16,3,D5),"")</f>
        <v/>
      </c>
    </row>
    <row r="454" spans="10:11" x14ac:dyDescent="0.25">
      <c r="J454" t="s">
        <v>1766</v>
      </c>
      <c r="K454" t="str">
        <f>IF(D6&gt;0,REPLACE(J454,16,3,D6),"")</f>
        <v/>
      </c>
    </row>
    <row r="455" spans="10:11" x14ac:dyDescent="0.25">
      <c r="J455" t="s">
        <v>1767</v>
      </c>
      <c r="K455" t="str">
        <f>IF(D7&gt;0,REPLACE(J455,16,3,D7),"")</f>
        <v/>
      </c>
    </row>
    <row r="456" spans="10:11" x14ac:dyDescent="0.25">
      <c r="J456" t="s">
        <v>1768</v>
      </c>
      <c r="K456" t="str">
        <f>IF(D8&gt;0,REPLACE(J456,16,3,D8),"")</f>
        <v/>
      </c>
    </row>
    <row r="457" spans="10:11" x14ac:dyDescent="0.25">
      <c r="J457" t="s">
        <v>1769</v>
      </c>
      <c r="K457" t="str">
        <f>IF(D9&gt;0,REPLACE(J457,16,3,D9),"")</f>
        <v/>
      </c>
    </row>
    <row r="458" spans="10:11" x14ac:dyDescent="0.25">
      <c r="J458" t="s">
        <v>1770</v>
      </c>
      <c r="K458" t="str">
        <f>IF(D10&gt;0,REPLACE(J458,16,3,D10),"")</f>
        <v/>
      </c>
    </row>
    <row r="459" spans="10:11" x14ac:dyDescent="0.25">
      <c r="J459" t="s">
        <v>1771</v>
      </c>
      <c r="K459" t="str">
        <f>IF(D11&gt;0,REPLACE(J459,16,3,D11),"")</f>
        <v/>
      </c>
    </row>
    <row r="460" spans="10:11" x14ac:dyDescent="0.25">
      <c r="J460" t="s">
        <v>1772</v>
      </c>
      <c r="K460" t="str">
        <f>IF(D12&gt;0,REPLACE(J460,16,3,D12),"")</f>
        <v/>
      </c>
    </row>
    <row r="461" spans="10:11" x14ac:dyDescent="0.25">
      <c r="J461" t="s">
        <v>1773</v>
      </c>
      <c r="K461" t="str">
        <f>IF(D13&gt;0,REPLACE(J461,17,4,D13),"")</f>
        <v/>
      </c>
    </row>
    <row r="462" spans="10:11" x14ac:dyDescent="0.25">
      <c r="J462" t="s">
        <v>1774</v>
      </c>
      <c r="K462" t="str">
        <f>IF(D14&gt;0,REPLACE(J462,17,4,D14),"")</f>
        <v/>
      </c>
    </row>
    <row r="463" spans="10:11" x14ac:dyDescent="0.25">
      <c r="J463" t="s">
        <v>1775</v>
      </c>
      <c r="K463" t="str">
        <f>IF(D15&gt;0,REPLACE(J463,17,4,D15),"")</f>
        <v/>
      </c>
    </row>
    <row r="464" spans="10:11" x14ac:dyDescent="0.25">
      <c r="J464" t="s">
        <v>1776</v>
      </c>
      <c r="K464" t="str">
        <f>IF(D16&gt;0,REPLACE(J464,17,4,D16),"")</f>
        <v/>
      </c>
    </row>
    <row r="465" spans="10:11" x14ac:dyDescent="0.25">
      <c r="J465" t="s">
        <v>1777</v>
      </c>
      <c r="K465" t="str">
        <f>IF(D17&gt;0,REPLACE(J465,17,4,D17),"")</f>
        <v/>
      </c>
    </row>
    <row r="466" spans="10:11" x14ac:dyDescent="0.25">
      <c r="J466" t="s">
        <v>1778</v>
      </c>
      <c r="K466" t="str">
        <f>IF(D18&gt;0,REPLACE(J466,17,4,D18),"")</f>
        <v/>
      </c>
    </row>
    <row r="467" spans="10:11" x14ac:dyDescent="0.25">
      <c r="J467" t="s">
        <v>1779</v>
      </c>
      <c r="K467" t="str">
        <f>REPLACE(IF(E2&gt;0,REPLACE(J467,54,8,E2),""),21,3,I2)</f>
        <v>&lt;em&gt;5.6.3.5. Mexico ABC Market Size and Forecast, by EE (2024-2032)&lt;/em&gt;</v>
      </c>
    </row>
    <row r="468" spans="10:11" x14ac:dyDescent="0.25">
      <c r="J468" t="s">
        <v>1780</v>
      </c>
      <c r="K468" t="str">
        <f>IF(E4&gt;0,REPLACE(J468,16,3,E4),"")</f>
        <v/>
      </c>
    </row>
    <row r="469" spans="10:11" x14ac:dyDescent="0.25">
      <c r="J469" t="s">
        <v>1781</v>
      </c>
      <c r="K469" t="str">
        <f>IF(E5&gt;0,REPLACE(J469,16,3,E5),"")</f>
        <v/>
      </c>
    </row>
    <row r="470" spans="10:11" x14ac:dyDescent="0.25">
      <c r="J470" t="s">
        <v>1782</v>
      </c>
      <c r="K470" t="str">
        <f>IF(E6&gt;0,REPLACE(J470,16,3,E6),"")</f>
        <v/>
      </c>
    </row>
    <row r="471" spans="10:11" x14ac:dyDescent="0.25">
      <c r="J471" t="s">
        <v>1783</v>
      </c>
      <c r="K471" t="str">
        <f>IF(E7&gt;0,REPLACE(J471,16,3,E7),"")</f>
        <v/>
      </c>
    </row>
    <row r="472" spans="10:11" x14ac:dyDescent="0.25">
      <c r="J472" t="s">
        <v>1784</v>
      </c>
      <c r="K472" t="str">
        <f>IF(E8&gt;0,REPLACE(J472,16,3,E8),"")</f>
        <v/>
      </c>
    </row>
    <row r="473" spans="10:11" x14ac:dyDescent="0.25">
      <c r="J473" t="s">
        <v>1785</v>
      </c>
      <c r="K473" t="str">
        <f>IF(E9&gt;0,REPLACE(J473,16,3,E9),"")</f>
        <v/>
      </c>
    </row>
    <row r="474" spans="10:11" x14ac:dyDescent="0.25">
      <c r="J474" t="s">
        <v>1786</v>
      </c>
      <c r="K474" t="str">
        <f>IF(E10&gt;0,REPLACE(J474,16,3,E10),"")</f>
        <v/>
      </c>
    </row>
    <row r="475" spans="10:11" x14ac:dyDescent="0.25">
      <c r="J475" t="s">
        <v>1787</v>
      </c>
      <c r="K475" t="str">
        <f>IF(E11&gt;0,REPLACE(J475,16,3,E11),"")</f>
        <v/>
      </c>
    </row>
    <row r="476" spans="10:11" x14ac:dyDescent="0.25">
      <c r="J476" t="s">
        <v>1788</v>
      </c>
      <c r="K476" t="str">
        <f>IF(E12&gt;0,REPLACE(J476,16,3,E12),"")</f>
        <v/>
      </c>
    </row>
    <row r="477" spans="10:11" x14ac:dyDescent="0.25">
      <c r="J477" t="s">
        <v>1789</v>
      </c>
      <c r="K477" t="str">
        <f>IF(E13&gt;0,REPLACE(J477,17,4,E13),"")</f>
        <v/>
      </c>
    </row>
    <row r="478" spans="10:11" x14ac:dyDescent="0.25">
      <c r="J478" t="s">
        <v>1790</v>
      </c>
      <c r="K478" t="str">
        <f>IF(E14&gt;0,REPLACE(J478,17,4,E14),"")</f>
        <v/>
      </c>
    </row>
    <row r="479" spans="10:11" x14ac:dyDescent="0.25">
      <c r="J479" t="s">
        <v>1791</v>
      </c>
      <c r="K479" t="str">
        <f>IF(E15&gt;0,REPLACE(J479,17,4,E15),"")</f>
        <v/>
      </c>
    </row>
    <row r="480" spans="10:11" x14ac:dyDescent="0.25">
      <c r="J480" t="s">
        <v>1792</v>
      </c>
      <c r="K480" t="str">
        <f>IF(E16&gt;0,REPLACE(J480,17,4,E16),"")</f>
        <v/>
      </c>
    </row>
    <row r="481" spans="10:11" x14ac:dyDescent="0.25">
      <c r="J481" t="s">
        <v>1793</v>
      </c>
      <c r="K481" t="str">
        <f>IF(E17&gt;0,REPLACE(J481,17,4,E17),"")</f>
        <v/>
      </c>
    </row>
    <row r="482" spans="10:11" x14ac:dyDescent="0.25">
      <c r="J482" t="s">
        <v>1794</v>
      </c>
      <c r="K482" t="str">
        <f>IF(E18&gt;0,REPLACE(J482,17,4,E18),"")</f>
        <v/>
      </c>
    </row>
    <row r="484" spans="10:11" x14ac:dyDescent="0.25">
      <c r="J484" t="s">
        <v>857</v>
      </c>
      <c r="K484" t="str">
        <f>REPLACE(J484,FIND("ABC",J484,1),3,$I$2)</f>
        <v>&lt;strong&gt;6. Europe ABC Market Size and Forecast by Segmentation (by Value in USD Million) 2024-2032&lt;/strong&gt;</v>
      </c>
    </row>
    <row r="485" spans="10:11" x14ac:dyDescent="0.25">
      <c r="J485" t="s">
        <v>858</v>
      </c>
      <c r="K485" t="str">
        <f>REPLACE((IF(A2&gt;0,REPLACE(J485,46,8,A2),"")),13,3,I2)</f>
        <v>6.1. Europe ABC Market Size and Forecast, by AA (2024-2032)</v>
      </c>
    </row>
    <row r="486" spans="10:11" x14ac:dyDescent="0.25">
      <c r="J486" t="s">
        <v>859</v>
      </c>
      <c r="K486" t="str">
        <f>REPLACE((IF(B2&gt;0,REPLACE(J486,46,8,B2),"")),13,3,I2)</f>
        <v>6.2. Europe ABC Market Size and Forecast, by BB (2024-2032)</v>
      </c>
    </row>
    <row r="487" spans="10:11" x14ac:dyDescent="0.25">
      <c r="J487" t="s">
        <v>860</v>
      </c>
      <c r="K487" t="str">
        <f>REPLACE((IF(C2&gt;0,REPLACE(J487,46,8,C2),"")),13,3,I2)</f>
        <v>6.3. Europe ABC Market Size and Forecast, by CC (2024-2032)</v>
      </c>
    </row>
    <row r="488" spans="10:11" x14ac:dyDescent="0.25">
      <c r="J488" t="s">
        <v>861</v>
      </c>
      <c r="K488" t="str">
        <f>REPLACE((IF(D2&gt;0,REPLACE(J488,46,8,D2),"")),13,3,I2)</f>
        <v>6.4. Europe ABC Market Size and Forecast, by DD (2024-2032)</v>
      </c>
    </row>
    <row r="489" spans="10:11" x14ac:dyDescent="0.25">
      <c r="J489" t="s">
        <v>862</v>
      </c>
      <c r="K489" t="str">
        <f>REPLACE((IF(E2&gt;0,REPLACE(J489,46,8,E2),"")),13,3,I2)</f>
        <v>6.5. Europe ABC Market Size and Forecast, by EE (2024-2032)</v>
      </c>
    </row>
    <row r="490" spans="10:11" x14ac:dyDescent="0.25">
      <c r="J490" t="s">
        <v>1795</v>
      </c>
      <c r="K490" t="str">
        <f>REPLACE(J490,FIND("ABC",J490,1),3,$I$2)</f>
        <v>6.6. Europe ABC Market Size and Forecast, by Country (2024-2032)</v>
      </c>
    </row>
    <row r="491" spans="10:11" x14ac:dyDescent="0.25">
      <c r="J491" t="s">
        <v>1796</v>
      </c>
      <c r="K491" t="str">
        <f>J491</f>
        <v>&lt;strong&gt;&lt;em&gt;6.6.1. United Kingdom&lt;/em&gt;&lt;/strong&gt;</v>
      </c>
    </row>
    <row r="492" spans="10:11" x14ac:dyDescent="0.25">
      <c r="J492" t="s">
        <v>1797</v>
      </c>
      <c r="K492" t="str">
        <f>REPLACE(IF(A2&gt;0,REPLACE(J492,62,8,A2),""),FIND("ABC",J492,1),3,$I$2)</f>
        <v>&lt;em&gt;6.6.1.1. United Kingdom ABC Market Size and Forecast, by AA (2024-2032)&lt;/em&gt;</v>
      </c>
    </row>
    <row r="493" spans="10:11" x14ac:dyDescent="0.25">
      <c r="J493" t="s">
        <v>1798</v>
      </c>
      <c r="K493" t="str">
        <f>REPLACE(IF(B2&gt;0,REPLACE(J493,62,8,B2),""),FIND("ABC",J493,1),3,$I$2)</f>
        <v>&lt;em&gt;6.6.1.2. United Kingdom ABC Market Size and Forecast, by BB (2024-2032)&lt;/em&gt;</v>
      </c>
    </row>
    <row r="494" spans="10:11" x14ac:dyDescent="0.25">
      <c r="J494" t="s">
        <v>1799</v>
      </c>
      <c r="K494" t="str">
        <f>REPLACE(IF(C2&gt;0,REPLACE(J494,62,8,C2),""),FIND("ABC",J494,1),3,$I$2)</f>
        <v>&lt;em&gt;6.6.1.3. United Kingdom ABC Market Size and Forecast, by CC (2024-2032)&lt;/em&gt;</v>
      </c>
    </row>
    <row r="495" spans="10:11" x14ac:dyDescent="0.25">
      <c r="J495" t="s">
        <v>1800</v>
      </c>
      <c r="K495" t="str">
        <f>REPLACE(IF(D2&gt;0,REPLACE(J495,62,8,D2),""),FIND("ABC",J495,1),3,$I$2)</f>
        <v>&lt;em&gt;6.6.1.4. United Kingdom ABC Market Size and Forecast, by DD (2024-2032)&lt;/em&gt;</v>
      </c>
    </row>
    <row r="496" spans="10:11" x14ac:dyDescent="0.25">
      <c r="J496" t="s">
        <v>1801</v>
      </c>
      <c r="K496" t="str">
        <f>REPLACE(IF(E2&gt;0,REPLACE(J496,62,8,E2),""),FIND("ABC",J496,1),3,$I$2)</f>
        <v>&lt;em&gt;6.6.1.5. United Kingdom ABC Market Size and Forecast, by EE (2024-2032)&lt;/em&gt;</v>
      </c>
    </row>
    <row r="497" spans="10:11" x14ac:dyDescent="0.25">
      <c r="J497" t="s">
        <v>1802</v>
      </c>
      <c r="K497" t="str">
        <f>J497</f>
        <v>&lt;strong&gt;&lt;em&gt;6.6.2. France&lt;/em&gt;&lt;/strong&gt;</v>
      </c>
    </row>
    <row r="498" spans="10:11" x14ac:dyDescent="0.25">
      <c r="J498" t="s">
        <v>1803</v>
      </c>
      <c r="K498" t="str">
        <f>REPLACE(IF(A2&gt;0,REPLACE(J498,54,8,A2),""),FIND("ABC",J498,1),3,$I$2)</f>
        <v>&lt;em&gt;6.6.2.1. France ABC Market Size and Forecast, by AA (2024-2032)&lt;/em&gt;</v>
      </c>
    </row>
    <row r="499" spans="10:11" x14ac:dyDescent="0.25">
      <c r="J499" t="s">
        <v>1804</v>
      </c>
      <c r="K499" t="str">
        <f>REPLACE(IF(B2&gt;0,REPLACE(J499,54,8,B2),""),FIND("ABC",J499,1),3,$I$2)</f>
        <v>&lt;em&gt;6.6.2.2. France ABC Market Size and Forecast, by BB (2024-2032)&lt;/em&gt;</v>
      </c>
    </row>
    <row r="500" spans="10:11" x14ac:dyDescent="0.25">
      <c r="J500" t="s">
        <v>1805</v>
      </c>
      <c r="K500" t="str">
        <f>REPLACE(IF(C2&gt;0,REPLACE(J500,54,8,C2),""),FIND("ABC",J500,1),3,$I$2)</f>
        <v>&lt;em&gt;6.6.2.3. France ABC Market Size and Forecast, by CC (2024-2032)&lt;/em&gt;</v>
      </c>
    </row>
    <row r="501" spans="10:11" x14ac:dyDescent="0.25">
      <c r="J501" t="s">
        <v>1806</v>
      </c>
      <c r="K501" t="str">
        <f>REPLACE(IF(D2&gt;0,REPLACE(J501,54,8,D2),""),FIND("ABC",J501,1),3,$I$2)</f>
        <v>&lt;em&gt;6.6.2.4. France ABC Market Size and Forecast, by DD (2024-2032)&lt;/em&gt;</v>
      </c>
    </row>
    <row r="502" spans="10:11" x14ac:dyDescent="0.25">
      <c r="J502" t="s">
        <v>1807</v>
      </c>
      <c r="K502" t="str">
        <f>REPLACE(IF(E2&gt;0,REPLACE(J502,54,8,E2),""),FIND("ABC",J502,1),3,$I$2)</f>
        <v>&lt;em&gt;6.6.2.5. France ABC Market Size and Forecast, by EE (2024-2032)&lt;/em&gt;</v>
      </c>
    </row>
    <row r="503" spans="10:11" x14ac:dyDescent="0.25">
      <c r="J503" t="s">
        <v>1808</v>
      </c>
      <c r="K503" t="str">
        <f>J503</f>
        <v>&lt;strong&gt;&lt;em&gt;6.6.3. Germany&lt;/em&gt;&lt;/strong&gt;</v>
      </c>
    </row>
    <row r="504" spans="10:11" x14ac:dyDescent="0.25">
      <c r="J504" t="s">
        <v>1809</v>
      </c>
      <c r="K504" t="str">
        <f>REPLACE(IF(A2&gt;0,REPLACE(J504,55,8,A2),""),FIND("ABC",J504,1),3,$I$2)</f>
        <v>&lt;em&gt;6.6.3.1. Germany ABC Market Size and Forecast, by AA (2024-2032)&lt;/em&gt;</v>
      </c>
    </row>
    <row r="505" spans="10:11" x14ac:dyDescent="0.25">
      <c r="J505" t="s">
        <v>1810</v>
      </c>
      <c r="K505" t="str">
        <f>REPLACE(IF(B2&gt;0,REPLACE(J505,55,8,B2),""),FIND("ABC",J505,1),3,$I$2)</f>
        <v>&lt;em&gt;6.6.3.2. Germany ABC Market Size and Forecast, by BB (2024-2032)&lt;/em&gt;</v>
      </c>
    </row>
    <row r="506" spans="10:11" x14ac:dyDescent="0.25">
      <c r="J506" t="s">
        <v>1811</v>
      </c>
      <c r="K506" t="str">
        <f>REPLACE(IF(C2&gt;0,REPLACE(J506,55,8,C2),""),FIND("ABC",J506,1),3,$I$2)</f>
        <v>&lt;em&gt;6.6.3.3. Germany ABC Market Size and Forecast, by CC (2024-2032)&lt;/em&gt;</v>
      </c>
    </row>
    <row r="507" spans="10:11" x14ac:dyDescent="0.25">
      <c r="J507" t="s">
        <v>1812</v>
      </c>
      <c r="K507" t="str">
        <f>REPLACE(IF(D2&gt;0,REPLACE(J507,55,8,D2),""),FIND("ABC",J507,1),3,$I$2)</f>
        <v>&lt;em&gt;6.6.3.4. Germany ABC Market Size and Forecast, by DD (2024-2032)&lt;/em&gt;</v>
      </c>
    </row>
    <row r="508" spans="10:11" x14ac:dyDescent="0.25">
      <c r="J508" t="s">
        <v>1813</v>
      </c>
      <c r="K508" t="str">
        <f>REPLACE(IF(E2&gt;0,REPLACE(J508,55,8,E2),""),FIND("ABC",J508,1),3,$I$2)</f>
        <v>&lt;em&gt;6.6.3.5. Germany ABC Market Size and Forecast, by EE (2024-2032)&lt;/em&gt;</v>
      </c>
    </row>
    <row r="509" spans="10:11" x14ac:dyDescent="0.25">
      <c r="J509" t="s">
        <v>1814</v>
      </c>
      <c r="K509" t="str">
        <f>J509</f>
        <v>&lt;strong&gt;&lt;em&gt;6.6.4. Italy&lt;/em&gt;&lt;/strong&gt;</v>
      </c>
    </row>
    <row r="510" spans="10:11" x14ac:dyDescent="0.25">
      <c r="J510" t="s">
        <v>1815</v>
      </c>
      <c r="K510" t="str">
        <f>REPLACE(IF(A2&gt;0,REPLACE(J510,53,8,A2),""),FIND("ABC",J510,1),3,$I$2)</f>
        <v>&lt;em&gt;6.6.4.1. Italy ABC Market Size and Forecast, by AA (2024-2032)&lt;/em&gt;</v>
      </c>
    </row>
    <row r="511" spans="10:11" x14ac:dyDescent="0.25">
      <c r="J511" t="s">
        <v>1816</v>
      </c>
      <c r="K511" t="str">
        <f>REPLACE(IF(B2&gt;0,REPLACE(J511,53,8,B2),""),FIND("ABC",J511,1),3,$I$2)</f>
        <v>&lt;em&gt;6.6.4.2. Italy ABC Market Size and Forecast, by BB (2024-2032)&lt;/em&gt;</v>
      </c>
    </row>
    <row r="512" spans="10:11" x14ac:dyDescent="0.25">
      <c r="J512" t="s">
        <v>1817</v>
      </c>
      <c r="K512" t="str">
        <f>REPLACE(IF(C2&gt;0,REPLACE(J512,53,8,C2),""),FIND("ABC",J512,1),3,$I$2)</f>
        <v>&lt;em&gt;6.6.4.3. Italy ABC Market Size and Forecast, by CC (2024-2032)&lt;/em&gt;</v>
      </c>
    </row>
    <row r="513" spans="10:11" x14ac:dyDescent="0.25">
      <c r="J513" t="s">
        <v>1818</v>
      </c>
      <c r="K513" t="str">
        <f>REPLACE(IF(D2&gt;0,REPLACE(J513,53,8,D2),""),FIND("ABC",J513,1),3,$I$2)</f>
        <v>&lt;em&gt;6.6.4.4. Italy ABC Market Size and Forecast, by DD (2024-2032)&lt;/em&gt;</v>
      </c>
    </row>
    <row r="514" spans="10:11" x14ac:dyDescent="0.25">
      <c r="J514" t="s">
        <v>1819</v>
      </c>
      <c r="K514" t="str">
        <f>REPLACE(IF(E2&gt;0,REPLACE(J514,53,8,E2),""),FIND("ABC",J514,1),3,$I$2)</f>
        <v>&lt;em&gt;6.6.4.5. Italy ABC Market Size and Forecast, by EE (2024-2032)&lt;/em&gt;</v>
      </c>
    </row>
    <row r="515" spans="10:11" x14ac:dyDescent="0.25">
      <c r="J515" t="s">
        <v>1820</v>
      </c>
      <c r="K515" t="str">
        <f>J515</f>
        <v>&lt;strong&gt;&lt;em&gt;6.6.5. Spain&lt;/em&gt;&lt;/strong&gt;</v>
      </c>
    </row>
    <row r="516" spans="10:11" x14ac:dyDescent="0.25">
      <c r="J516" t="s">
        <v>1821</v>
      </c>
      <c r="K516" t="str">
        <f>REPLACE(IF(A2&gt;0,REPLACE(J516,53,8,A2),""),FIND("ABC",J516,1),3,$I$2)</f>
        <v>&lt;em&gt;6.6.5.1. Spain ABC Market Size and Forecast, by AA (2024-2032)&lt;/em&gt;</v>
      </c>
    </row>
    <row r="517" spans="10:11" x14ac:dyDescent="0.25">
      <c r="J517" t="s">
        <v>1822</v>
      </c>
      <c r="K517" t="str">
        <f>REPLACE(IF(B2&gt;0,REPLACE(J517,53,8,B2),""),FIND("ABC",J517,1),3,$I$2)</f>
        <v>&lt;em&gt;6.6.5.2. Spain ABC Market Size and Forecast, by BB (2024-2032)&lt;/em&gt;</v>
      </c>
    </row>
    <row r="518" spans="10:11" x14ac:dyDescent="0.25">
      <c r="J518" t="s">
        <v>1823</v>
      </c>
      <c r="K518" t="str">
        <f>REPLACE(IF(C2&gt;0,REPLACE(J518,53,8,C2),""),FIND("ABC",J518,1),3,$I$2)</f>
        <v>&lt;em&gt;6.6.5.3. Spain ABC Market Size and Forecast, by CC (2024-2032)&lt;/em&gt;</v>
      </c>
    </row>
    <row r="519" spans="10:11" x14ac:dyDescent="0.25">
      <c r="J519" t="s">
        <v>1824</v>
      </c>
      <c r="K519" t="str">
        <f>REPLACE(IF(D2&gt;0,REPLACE(J519,53,8,D2),""),FIND("ABC",J519,1),3,$I$2)</f>
        <v>&lt;em&gt;6.6.5.4. Spain ABC Market Size and Forecast, by DD (2024-2032)&lt;/em&gt;</v>
      </c>
    </row>
    <row r="520" spans="10:11" x14ac:dyDescent="0.25">
      <c r="J520" t="s">
        <v>1825</v>
      </c>
      <c r="K520" t="str">
        <f>REPLACE(IF(E2&gt;0,REPLACE(J520,53,8,E2),""),FIND("ABC",J520,1),3,$I$2)</f>
        <v>&lt;em&gt;6.6.5.5. Spain ABC Market Size and Forecast, by EE (2024-2032)&lt;/em&gt;</v>
      </c>
    </row>
    <row r="521" spans="10:11" x14ac:dyDescent="0.25">
      <c r="J521" t="s">
        <v>1826</v>
      </c>
      <c r="K521" t="str">
        <f>J521</f>
        <v>&lt;strong&gt;&lt;em&gt;6.6.6. Sweden&lt;/em&gt;&lt;/strong&gt;</v>
      </c>
    </row>
    <row r="522" spans="10:11" x14ac:dyDescent="0.25">
      <c r="J522" t="s">
        <v>1827</v>
      </c>
      <c r="K522" t="str">
        <f>REPLACE(IF(A2&gt;0,REPLACE(J522,54,8,A2),""),FIND("ABC",J522,1),3,$I$2)</f>
        <v>&lt;em&gt;6.6.6.1. Sweden ABC Market Size and Forecast, by AA (2024-2032)&lt;/em&gt;</v>
      </c>
    </row>
    <row r="523" spans="10:11" x14ac:dyDescent="0.25">
      <c r="J523" t="s">
        <v>1828</v>
      </c>
      <c r="K523" t="str">
        <f>REPLACE(IF(B2&gt;0,REPLACE(J523,54,8,B2),""),FIND("ABC",J523,1),3,$I$2)</f>
        <v>&lt;em&gt;6.6.6.2. Sweden ABC Market Size and Forecast, by BB (2024-2032)&lt;/em&gt;</v>
      </c>
    </row>
    <row r="524" spans="10:11" x14ac:dyDescent="0.25">
      <c r="J524" t="s">
        <v>1829</v>
      </c>
      <c r="K524" t="str">
        <f>REPLACE(IF(C2&gt;0,REPLACE(J524,54,8,C2),""),FIND("ABC",J524,1),3,$I$2)</f>
        <v>&lt;em&gt;6.6.6.3. Sweden ABC Market Size and Forecast, by CC (2024-2032)&lt;/em&gt;</v>
      </c>
    </row>
    <row r="525" spans="10:11" x14ac:dyDescent="0.25">
      <c r="J525" t="s">
        <v>1830</v>
      </c>
      <c r="K525" t="str">
        <f>REPLACE(IF(D2&gt;0,REPLACE(J525,54,8,D2),""),FIND("ABC",J525,1),3,$I$2)</f>
        <v>&lt;em&gt;6.6.6.4. Sweden ABC Market Size and Forecast, by DD (2024-2032)&lt;/em&gt;</v>
      </c>
    </row>
    <row r="526" spans="10:11" x14ac:dyDescent="0.25">
      <c r="J526" t="s">
        <v>1831</v>
      </c>
      <c r="K526" t="str">
        <f>REPLACE(IF(E2&gt;0,REPLACE(J526,54,8,E2),""),FIND("ABC",J526,1),3,$I$2)</f>
        <v>&lt;em&gt;6.6.6.5. Sweden ABC Market Size and Forecast, by EE (2024-2032)&lt;/em&gt;</v>
      </c>
    </row>
    <row r="527" spans="10:11" x14ac:dyDescent="0.25">
      <c r="J527" t="s">
        <v>1832</v>
      </c>
      <c r="K527" t="str">
        <f>J527</f>
        <v>&lt;strong&gt;&lt;em&gt;6.6.7. Austria&lt;/em&gt;&lt;/strong&gt;</v>
      </c>
    </row>
    <row r="528" spans="10:11" x14ac:dyDescent="0.25">
      <c r="J528" t="s">
        <v>1833</v>
      </c>
      <c r="K528" t="str">
        <f>REPLACE(IF(A2&gt;0,REPLACE(J528,55,8,A2),""),FIND("ABC",J528,1),3,$I$2)</f>
        <v>&lt;em&gt;6.6.7.1. Austria ABC Market Size and Forecast, by AA (2024-2032)&lt;/em&gt;</v>
      </c>
    </row>
    <row r="529" spans="10:11" x14ac:dyDescent="0.25">
      <c r="J529" t="s">
        <v>1834</v>
      </c>
      <c r="K529" t="str">
        <f>REPLACE(IF(B2&gt;0,REPLACE(J529,55,8,B2),""),FIND("ABC",J529,1),3,$I$2)</f>
        <v>&lt;em&gt;6.6.7.2. Austria ABC Market Size and Forecast, by BB (2024-2032)&lt;/em&gt;</v>
      </c>
    </row>
    <row r="530" spans="10:11" x14ac:dyDescent="0.25">
      <c r="J530" t="s">
        <v>1835</v>
      </c>
      <c r="K530" t="str">
        <f>REPLACE(IF(C2&gt;0,REPLACE(J530,55,8,C2),""),FIND("ABC",J530,1),3,$I$2)</f>
        <v>&lt;em&gt;6.6.7.3. Austria ABC Market Size and Forecast, by CC (2024-2032)&lt;/em&gt;</v>
      </c>
    </row>
    <row r="531" spans="10:11" x14ac:dyDescent="0.25">
      <c r="J531" t="s">
        <v>1836</v>
      </c>
      <c r="K531" t="str">
        <f>REPLACE(IF(D2&gt;0,REPLACE(J531,55,8,D2),""),FIND("ABC",J531,1),3,$I$2)</f>
        <v>&lt;em&gt;6.6.7.4. Austria ABC Market Size and Forecast, by DD (2024-2032)&lt;/em&gt;</v>
      </c>
    </row>
    <row r="532" spans="10:11" x14ac:dyDescent="0.25">
      <c r="J532" t="s">
        <v>1837</v>
      </c>
      <c r="K532" t="str">
        <f>REPLACE(IF(E2&gt;0,REPLACE(J532,55,8,E2),""),FIND("ABC",J532,1),3,$I$2)</f>
        <v>&lt;em&gt;6.6.7.5. Austria ABC Market Size and Forecast, by EE (2024-2032)&lt;/em&gt;</v>
      </c>
    </row>
    <row r="533" spans="10:11" x14ac:dyDescent="0.25">
      <c r="J533" t="s">
        <v>1838</v>
      </c>
      <c r="K533" t="str">
        <f>J533</f>
        <v>&lt;strong&gt;&lt;em&gt;6.6.8. Rest of Europe&lt;/em&gt;&lt;/strong&gt;</v>
      </c>
    </row>
    <row r="534" spans="10:11" x14ac:dyDescent="0.25">
      <c r="J534" t="s">
        <v>1839</v>
      </c>
      <c r="K534" t="str">
        <f>REPLACE(IF(A2&gt;0,REPLACE(J534,62,8,A2),""),FIND("ABC",J534,1),3,$I$2)</f>
        <v>&lt;em&gt;6.6.8.1. Rest of Europe ABC Market Size and Forecast, by AA (2024-2032)&lt;/em&gt;</v>
      </c>
    </row>
    <row r="535" spans="10:11" x14ac:dyDescent="0.25">
      <c r="J535" t="s">
        <v>1840</v>
      </c>
      <c r="K535" t="str">
        <f>REPLACE(IF(B2&gt;0,REPLACE(J535,62,8,B2),""),FIND("ABC",J535,1),3,$I$2)</f>
        <v>&lt;em&gt;6.6.8.2. Rest of Europe ABC Market Size and Forecast, by BB (2024-2032)&lt;/em&gt;</v>
      </c>
    </row>
    <row r="536" spans="10:11" x14ac:dyDescent="0.25">
      <c r="J536" t="s">
        <v>1841</v>
      </c>
      <c r="K536" t="str">
        <f>REPLACE(IF(C2&gt;0,REPLACE(J536,62,8,C2),""),FIND("ABC",J536,1),3,$I$2)</f>
        <v>&lt;em&gt;6.6.8.3. Rest of Europe ABC Market Size and Forecast, by CC (2024-2032)&lt;/em&gt;</v>
      </c>
    </row>
    <row r="537" spans="10:11" x14ac:dyDescent="0.25">
      <c r="J537" t="s">
        <v>1842</v>
      </c>
      <c r="K537" t="str">
        <f>REPLACE(IF(D2&gt;0,REPLACE(J537,62,8,D2),""),FIND("ABC",J537,1),3,$I$2)</f>
        <v>&lt;em&gt;6.6.8.4. Rest of Europe ABC Market Size and Forecast, by DD (2024-2032)&lt;/em&gt;</v>
      </c>
    </row>
    <row r="538" spans="10:11" x14ac:dyDescent="0.25">
      <c r="J538" t="s">
        <v>1843</v>
      </c>
      <c r="K538" t="str">
        <f>REPLACE(IF(E2&gt;0,REPLACE(J538,62,8,E2),""),FIND("ABC",J538,1),3,$I$2)</f>
        <v>&lt;em&gt;6.6.8.5. Rest of Europe ABC Market Size and Forecast, by EE (2024-2032)&lt;/em&gt;</v>
      </c>
    </row>
    <row r="540" spans="10:11" x14ac:dyDescent="0.25">
      <c r="J540" t="s">
        <v>922</v>
      </c>
      <c r="K540" t="str">
        <f>REPLACE(J540,FIND("ABC",J540,1),3,$I$2)</f>
        <v>&lt;strong&gt;7. Asia Pacific ABC Market Size and Forecast by Segmentation (by Value in USD Million) 2024-2032&lt;/strong&gt;</v>
      </c>
    </row>
    <row r="541" spans="10:11" x14ac:dyDescent="0.25">
      <c r="J541" t="s">
        <v>923</v>
      </c>
      <c r="K541" t="str">
        <f>REPLACE(IF(A2&gt;0,REPLACE(J541,52,8,A2),""),FIND("ABC",J541,1),3,$I$2)</f>
        <v>7.1. Asia Pacific ABC Market Size and Forecast, by AA (2024-2032)</v>
      </c>
    </row>
    <row r="542" spans="10:11" x14ac:dyDescent="0.25">
      <c r="J542" t="s">
        <v>924</v>
      </c>
      <c r="K542" t="str">
        <f>REPLACE(IF(B2&gt;0,REPLACE(J542,52,8,B2),""),FIND("ABC",J542,1),3,$I$2)</f>
        <v>7.2. Asia Pacific ABC Market Size and Forecast, by BB (2024-2032)</v>
      </c>
    </row>
    <row r="543" spans="10:11" x14ac:dyDescent="0.25">
      <c r="J543" t="s">
        <v>925</v>
      </c>
      <c r="K543" t="str">
        <f>REPLACE(IF(C2&gt;0,REPLACE(J543,52,8,C2),""),FIND("ABC",J543,1),3,$I$2)</f>
        <v>7.3. Asia Pacific ABC Market Size and Forecast, by CC (2024-2032)</v>
      </c>
    </row>
    <row r="544" spans="10:11" x14ac:dyDescent="0.25">
      <c r="J544" t="s">
        <v>926</v>
      </c>
      <c r="K544" t="str">
        <f>REPLACE(IF(D2&gt;0,REPLACE(J544,52,8,D2),""),FIND("ABC",J544,1),3,$I$2)</f>
        <v>7.4. Asia Pacific ABC Market Size and Forecast, by DD (2024-2032)</v>
      </c>
    </row>
    <row r="545" spans="10:11" x14ac:dyDescent="0.25">
      <c r="J545" t="s">
        <v>927</v>
      </c>
      <c r="K545" t="str">
        <f>REPLACE(IF(E2&gt;0,REPLACE(J545,52,8,E2),""),FIND("ABC",J545,1),3,$I$2)</f>
        <v>7.5. Asia Pacific ABC Market Size and Forecast, by EE (2024-2032)</v>
      </c>
    </row>
    <row r="546" spans="10:11" x14ac:dyDescent="0.25">
      <c r="J546" t="s">
        <v>1844</v>
      </c>
      <c r="K546" t="str">
        <f>REPLACE(J546,FIND("ABC",J546,1),3,I2)</f>
        <v>7.6. Asia Pacific ABC Market Size and Forecast, by Country (2024-2032)</v>
      </c>
    </row>
    <row r="547" spans="10:11" x14ac:dyDescent="0.25">
      <c r="J547" t="s">
        <v>1845</v>
      </c>
      <c r="K547" t="str">
        <f>J547</f>
        <v>&lt;strong&gt;&lt;em&gt;7.6.1. China&lt;/em&gt;&lt;/strong&gt;</v>
      </c>
    </row>
    <row r="548" spans="10:11" x14ac:dyDescent="0.25">
      <c r="J548" t="s">
        <v>1846</v>
      </c>
      <c r="K548" t="str">
        <f>REPLACE(IF(A2&gt;0,REPLACE(J548,53,8,A2),""),FIND("ABC",J548,1),3,$I$2)</f>
        <v>&lt;em&gt;7.6.1.1. China ABC Market Size and Forecast, by AA (2024-2032)&lt;/em&gt;</v>
      </c>
    </row>
    <row r="549" spans="10:11" x14ac:dyDescent="0.25">
      <c r="J549" t="s">
        <v>1847</v>
      </c>
      <c r="K549" t="str">
        <f>REPLACE(IF(B2&gt;0,REPLACE(J549,53,8,B2),""),FIND("ABC",J549,1),3,$I$2)</f>
        <v>&lt;em&gt;7.6.1.2. China ABC Market Size and Forecast, by BB (2024-2032)&lt;/em&gt;</v>
      </c>
    </row>
    <row r="550" spans="10:11" x14ac:dyDescent="0.25">
      <c r="J550" t="s">
        <v>1848</v>
      </c>
      <c r="K550" t="str">
        <f>REPLACE(IF(C2&gt;0,REPLACE(J550,53,8,C2),""),FIND("ABC",J550,1),3,$I$2)</f>
        <v>&lt;em&gt;7.6.1.3. China ABC Market Size and Forecast, by CC (2024-2032)&lt;/em&gt;</v>
      </c>
    </row>
    <row r="551" spans="10:11" x14ac:dyDescent="0.25">
      <c r="J551" t="s">
        <v>1849</v>
      </c>
      <c r="K551" t="str">
        <f>REPLACE(IF(D2&gt;0,REPLACE(J551,53,8,D2),""),FIND("ABC",J551,1),3,$I$2)</f>
        <v>&lt;em&gt;7.6.1.4. China ABC Market Size and Forecast, by DD (2024-2032)&lt;/em&gt;</v>
      </c>
    </row>
    <row r="552" spans="10:11" x14ac:dyDescent="0.25">
      <c r="J552" t="s">
        <v>1850</v>
      </c>
      <c r="K552" t="str">
        <f>REPLACE(IF(E2&gt;0,REPLACE(J552,53,8,E2),""),FIND("ABC",J552,1),3,$I$2)</f>
        <v>&lt;em&gt;7.6.1.5. China ABC Market Size and Forecast, by EE (2024-2032)&lt;/em&gt;</v>
      </c>
    </row>
    <row r="553" spans="10:11" x14ac:dyDescent="0.25">
      <c r="J553" t="s">
        <v>1851</v>
      </c>
      <c r="K553" t="str">
        <f>J553</f>
        <v>&lt;strong&gt;&lt;em&gt;7.6.2. S Korea&lt;/em&gt;&lt;/strong&gt;</v>
      </c>
    </row>
    <row r="554" spans="10:11" x14ac:dyDescent="0.25">
      <c r="J554" t="s">
        <v>1852</v>
      </c>
      <c r="K554" t="str">
        <f>REPLACE(IF(A2&gt;0,REPLACE(J554,55,8,A2),""),FIND("ABC",J554,1),3,$I$2)</f>
        <v>&lt;em&gt;7.6.2.1. S Korea ABC Market Size and Forecast, by AA (2024-2032)&lt;/em&gt;</v>
      </c>
    </row>
    <row r="555" spans="10:11" x14ac:dyDescent="0.25">
      <c r="J555" t="s">
        <v>1853</v>
      </c>
      <c r="K555" t="str">
        <f>REPLACE(IF(B2&gt;0,REPLACE(J555,55,8,B2),""),FIND("ABC",J555,1),3,$I$2)</f>
        <v>&lt;em&gt;7.6.2.2. S Korea ABC Market Size and Forecast, by BB (2024-2032)&lt;/em&gt;</v>
      </c>
    </row>
    <row r="556" spans="10:11" x14ac:dyDescent="0.25">
      <c r="J556" t="s">
        <v>1854</v>
      </c>
      <c r="K556" t="str">
        <f>REPLACE(IF(C2&gt;0,REPLACE(J556,55,8,C2),""),FIND("ABC",J556,1),3,$I$2)</f>
        <v>&lt;em&gt;7.6.2.3. S Korea ABC Market Size and Forecast, by CC (2024-2032)&lt;/em&gt;</v>
      </c>
    </row>
    <row r="557" spans="10:11" x14ac:dyDescent="0.25">
      <c r="J557" t="s">
        <v>1855</v>
      </c>
      <c r="K557" t="str">
        <f>REPLACE(IF(D2&gt;0,REPLACE(J557,55,8,D2),""),FIND("ABC",J557,1),3,$I$2)</f>
        <v>&lt;em&gt;7.6.2.4. S Korea ABC Market Size and Forecast, by DD (2024-2032)&lt;/em&gt;</v>
      </c>
    </row>
    <row r="558" spans="10:11" x14ac:dyDescent="0.25">
      <c r="J558" t="s">
        <v>1856</v>
      </c>
      <c r="K558" t="str">
        <f>REPLACE(IF(E2&gt;0,REPLACE(J558,55,8,E2),""),FIND("ABC",J558,1),3,$I$2)</f>
        <v>&lt;em&gt;7.6.2.5. S Korea ABC Market Size and Forecast, by EE (2024-2032)&lt;/em&gt;</v>
      </c>
    </row>
    <row r="559" spans="10:11" x14ac:dyDescent="0.25">
      <c r="J559" t="s">
        <v>1857</v>
      </c>
      <c r="K559" t="str">
        <f>J559</f>
        <v>&lt;strong&gt;&lt;em&gt;7.6.3. Japan&lt;/em&gt;&lt;/strong&gt;</v>
      </c>
    </row>
    <row r="560" spans="10:11" x14ac:dyDescent="0.25">
      <c r="J560" t="s">
        <v>1858</v>
      </c>
      <c r="K560" t="str">
        <f>REPLACE(IF(A2&gt;0,REPLACE(J560,53,8,A2),""),FIND("ABC",J560,1),3,$I$2)</f>
        <v>&lt;em&gt;7.6.3.1. Japan ABC Market Size and Forecast, by AA (2024-2032)&lt;/em&gt;</v>
      </c>
    </row>
    <row r="561" spans="10:11" x14ac:dyDescent="0.25">
      <c r="J561" t="s">
        <v>1859</v>
      </c>
      <c r="K561" t="str">
        <f>REPLACE(IF(B2&gt;0,REPLACE(J561,53,8,B2),""),FIND("ABC",J561,1),3,$I$2)</f>
        <v>&lt;em&gt;7.6.3.2. Japan ABC Market Size and Forecast, by BB (2024-2032)&lt;/em&gt;</v>
      </c>
    </row>
    <row r="562" spans="10:11" x14ac:dyDescent="0.25">
      <c r="J562" t="s">
        <v>1860</v>
      </c>
      <c r="K562" t="str">
        <f>REPLACE(IF(C2&gt;0,REPLACE(J562,53,8,C2),""),FIND("ABC",J562,1),3,$I$2)</f>
        <v>&lt;em&gt;7.6.3.3. Japan ABC Market Size and Forecast, by CC (2024-2032)&lt;/em&gt;</v>
      </c>
    </row>
    <row r="563" spans="10:11" x14ac:dyDescent="0.25">
      <c r="J563" t="s">
        <v>1861</v>
      </c>
      <c r="K563" t="str">
        <f>REPLACE(IF(D2&gt;0,REPLACE(J563,53,8,D2),""),FIND("ABC",J563,1),3,$I$2)</f>
        <v>&lt;em&gt;7.6.3.4. Japan ABC Market Size and Forecast, by DD (2024-2032)&lt;/em&gt;</v>
      </c>
    </row>
    <row r="564" spans="10:11" x14ac:dyDescent="0.25">
      <c r="J564" t="s">
        <v>1862</v>
      </c>
      <c r="K564" t="str">
        <f>REPLACE(IF(E2&gt;0,REPLACE(J564,53,8,E2),""),FIND("ABC",J564,1),3,$I$2)</f>
        <v>&lt;em&gt;7.6.3.5. Japan ABC Market Size and Forecast, by EE (2024-2032)&lt;/em&gt;</v>
      </c>
    </row>
    <row r="565" spans="10:11" x14ac:dyDescent="0.25">
      <c r="J565" t="s">
        <v>1863</v>
      </c>
      <c r="K565" t="str">
        <f>J565</f>
        <v>&lt;strong&gt;&lt;em&gt;7.6.4. India&lt;/em&gt;&lt;/strong&gt;</v>
      </c>
    </row>
    <row r="566" spans="10:11" x14ac:dyDescent="0.25">
      <c r="J566" t="s">
        <v>1864</v>
      </c>
      <c r="K566" t="str">
        <f>REPLACE(IF(A2&gt;0,REPLACE(J566,53,8,A2),""),FIND("ABC",J566,1),3,$I$2)</f>
        <v>&lt;em&gt;7.6.4.1. India ABC Market Size and Forecast, by AA (2024-2032)&lt;/em&gt;</v>
      </c>
    </row>
    <row r="567" spans="10:11" x14ac:dyDescent="0.25">
      <c r="J567" t="s">
        <v>1865</v>
      </c>
      <c r="K567" t="str">
        <f>REPLACE(IF(B2&gt;0,REPLACE(J567,53,8,B2),""),FIND("ABC",J567,1),3,$I$2)</f>
        <v>&lt;em&gt;7.6.4.2. India ABC Market Size and Forecast, by BB (2024-2032)&lt;/em&gt;</v>
      </c>
    </row>
    <row r="568" spans="10:11" x14ac:dyDescent="0.25">
      <c r="J568" t="s">
        <v>1866</v>
      </c>
      <c r="K568" t="str">
        <f>REPLACE(IF(C2&gt;0,REPLACE(J568,53,8,C2),""),FIND("ABC",J568,1),3,$I$2)</f>
        <v>&lt;em&gt;7.6.4.3. India ABC Market Size and Forecast, by CC (2024-2032)&lt;/em&gt;</v>
      </c>
    </row>
    <row r="569" spans="10:11" x14ac:dyDescent="0.25">
      <c r="J569" t="s">
        <v>1867</v>
      </c>
      <c r="K569" t="str">
        <f>REPLACE(IF(D2&gt;0,REPLACE(J569,53,8,D2),""),FIND("ABC",J569,1),3,$I$2)</f>
        <v>&lt;em&gt;7.6.4.4. India ABC Market Size and Forecast, by DD (2024-2032)&lt;/em&gt;</v>
      </c>
    </row>
    <row r="570" spans="10:11" x14ac:dyDescent="0.25">
      <c r="J570" t="s">
        <v>1868</v>
      </c>
      <c r="K570" t="str">
        <f>REPLACE(IF(E2&gt;0,REPLACE(J570,53,8,E2),""),FIND("ABC",J570,1),3,$I$2)</f>
        <v>&lt;em&gt;7.6.4.5. India ABC Market Size and Forecast, by EE (2024-2032)&lt;/em&gt;</v>
      </c>
    </row>
    <row r="571" spans="10:11" x14ac:dyDescent="0.25">
      <c r="J571" t="s">
        <v>1869</v>
      </c>
      <c r="K571" t="str">
        <f>J571</f>
        <v>&lt;strong&gt;&lt;em&gt;7.6.5. Australia&lt;/em&gt;&lt;/strong&gt;</v>
      </c>
    </row>
    <row r="572" spans="10:11" x14ac:dyDescent="0.25">
      <c r="J572" t="s">
        <v>1870</v>
      </c>
      <c r="K572" t="str">
        <f>REPLACE(IF(A2&gt;0,REPLACE(J572,57,8,A2),""),FIND("ABC",J572,1),3,$I$2)</f>
        <v>&lt;em&gt;7.6.5.1. Australia ABC Market Size and Forecast, by AA (2024-2032)&lt;/em&gt;</v>
      </c>
    </row>
    <row r="573" spans="10:11" x14ac:dyDescent="0.25">
      <c r="J573" t="s">
        <v>1871</v>
      </c>
      <c r="K573" t="str">
        <f>REPLACE(IF(B2&gt;0,REPLACE(J573,57,8,B2),""),FIND("ABC",J573,1),3,$I$2)</f>
        <v>&lt;em&gt;7.6.5.2. Australia ABC Market Size and Forecast, by BB (2024-2032)&lt;/em&gt;</v>
      </c>
    </row>
    <row r="574" spans="10:11" x14ac:dyDescent="0.25">
      <c r="J574" t="s">
        <v>1872</v>
      </c>
      <c r="K574" t="str">
        <f>REPLACE(IF(C2&gt;0,REPLACE(J574,57,8,C2),""),FIND("ABC",J574,1),3,$I$2)</f>
        <v>&lt;em&gt;7.6.5.3. Australia ABC Market Size and Forecast, by CC (2024-2032)&lt;/em&gt;</v>
      </c>
    </row>
    <row r="575" spans="10:11" x14ac:dyDescent="0.25">
      <c r="J575" t="s">
        <v>1873</v>
      </c>
      <c r="K575" t="str">
        <f>REPLACE(IF(D2&gt;0,REPLACE(J575,57,8,D2),""),FIND("ABC",J575,1),3,$I$2)</f>
        <v>&lt;em&gt;7.6.5.4. Australia ABC Market Size and Forecast, by DD (2024-2032)&lt;/em&gt;</v>
      </c>
    </row>
    <row r="576" spans="10:11" x14ac:dyDescent="0.25">
      <c r="J576" t="s">
        <v>1874</v>
      </c>
      <c r="K576" t="str">
        <f>REPLACE(IF(E2&gt;0,REPLACE(J576,57,8,E2),""),FIND("ABC",J576,1),3,$I$2)</f>
        <v>&lt;em&gt;7.6.5.5. Australia ABC Market Size and Forecast, by EE (2024-2032)&lt;/em&gt;</v>
      </c>
    </row>
    <row r="577" spans="10:11" x14ac:dyDescent="0.25">
      <c r="J577" t="s">
        <v>1875</v>
      </c>
      <c r="K577" t="str">
        <f>J577</f>
        <v>&lt;strong&gt;&lt;em&gt;7.6.6. Indonesia&lt;/em&gt;&lt;/strong&gt;</v>
      </c>
    </row>
    <row r="578" spans="10:11" x14ac:dyDescent="0.25">
      <c r="J578" t="s">
        <v>1876</v>
      </c>
      <c r="K578" t="str">
        <f>REPLACE(IF(A2&gt;0,REPLACE(J578,57,8,A2),""),FIND("ABC",J578,1),3,$I$2)</f>
        <v>&lt;em&gt;7.6.6.1. Indonesia ABC Market Size and Forecast, by AA (2024-2032)&lt;/em&gt;</v>
      </c>
    </row>
    <row r="579" spans="10:11" x14ac:dyDescent="0.25">
      <c r="J579" t="s">
        <v>1877</v>
      </c>
      <c r="K579" t="str">
        <f>REPLACE(IF(B2&gt;0,REPLACE(J579,57,8,B2),""),FIND("ABC",J579,1),3,$I$2)</f>
        <v>&lt;em&gt;7.6.6.2. Indonesia ABC Market Size and Forecast, by BB (2024-2032)&lt;/em&gt;</v>
      </c>
    </row>
    <row r="580" spans="10:11" x14ac:dyDescent="0.25">
      <c r="J580" t="s">
        <v>1878</v>
      </c>
      <c r="K580" t="str">
        <f>REPLACE(IF(C2&gt;0,REPLACE(J580,57,8,C2),""),FIND("ABC",J580,1),3,$I$2)</f>
        <v>&lt;em&gt;7.6.6.3. Indonesia ABC Market Size and Forecast, by CC (2024-2032)&lt;/em&gt;</v>
      </c>
    </row>
    <row r="581" spans="10:11" x14ac:dyDescent="0.25">
      <c r="J581" t="s">
        <v>1879</v>
      </c>
      <c r="K581" t="str">
        <f>REPLACE(IF(D2&gt;0,REPLACE(J581,57,8,D2),""),FIND("ABC",J581,1),3,$I$2)</f>
        <v>&lt;em&gt;7.6.6.4. Indonesia ABC Market Size and Forecast, by DD (2024-2032)&lt;/em&gt;</v>
      </c>
    </row>
    <row r="582" spans="10:11" x14ac:dyDescent="0.25">
      <c r="J582" t="s">
        <v>1880</v>
      </c>
      <c r="K582" t="str">
        <f>REPLACE(IF(E2&gt;0,REPLACE(J582,57,8,E2),""),FIND("ABC",J582,1),3,$I$2)</f>
        <v>&lt;em&gt;7.6.6.5. Indonesia ABC Market Size and Forecast, by EE (2024-2032)&lt;/em&gt;</v>
      </c>
    </row>
    <row r="583" spans="10:11" x14ac:dyDescent="0.25">
      <c r="J583" t="s">
        <v>1881</v>
      </c>
      <c r="K583" t="str">
        <f>J583</f>
        <v>&lt;strong&gt;&lt;em&gt;7.6.7. Malaysia&lt;/em&gt;&lt;/strong&gt;</v>
      </c>
    </row>
    <row r="584" spans="10:11" x14ac:dyDescent="0.25">
      <c r="J584" t="s">
        <v>1882</v>
      </c>
      <c r="K584" t="str">
        <f>REPLACE(IF(A2&gt;0,REPLACE(J584,56,8,A2),""),FIND("ABC",J584,1),3,$I$2)</f>
        <v>&lt;em&gt;7.6.7.1. Malaysia ABC Market Size and Forecast, by AA (2024-2032)&lt;/em&gt;</v>
      </c>
    </row>
    <row r="585" spans="10:11" x14ac:dyDescent="0.25">
      <c r="J585" t="s">
        <v>1883</v>
      </c>
      <c r="K585" t="str">
        <f>REPLACE(IF(B2&gt;0,REPLACE(J585,56,8,B2),""),FIND("ABC",J585,1),3,$I$2)</f>
        <v>&lt;em&gt;7.6.7.2. Malaysia ABC Market Size and Forecast, by BB (2024-2032)&lt;/em&gt;</v>
      </c>
    </row>
    <row r="586" spans="10:11" x14ac:dyDescent="0.25">
      <c r="J586" t="s">
        <v>1884</v>
      </c>
      <c r="K586" t="str">
        <f>REPLACE(IF(C2&gt;0,REPLACE(J586,56,8,C2),""),FIND("ABC",J586,1),3,$I$2)</f>
        <v>&lt;em&gt;7.6.7.3. Malaysia ABC Market Size and Forecast, by CC (2024-2032)&lt;/em&gt;</v>
      </c>
    </row>
    <row r="587" spans="10:11" x14ac:dyDescent="0.25">
      <c r="J587" t="s">
        <v>1885</v>
      </c>
      <c r="K587" t="str">
        <f>REPLACE(IF(D2&gt;0,REPLACE(J587,56,8,D2),""),FIND("ABC",J587,1),3,$I$2)</f>
        <v>&lt;em&gt;7.6.7.4. Malaysia ABC Market Size and Forecast, by DD (2024-2032)&lt;/em&gt;</v>
      </c>
    </row>
    <row r="588" spans="10:11" x14ac:dyDescent="0.25">
      <c r="J588" t="s">
        <v>1886</v>
      </c>
      <c r="K588" t="str">
        <f>REPLACE(IF(E2&gt;0,REPLACE(J588,56,8,E2),""),FIND("ABC",J588,1),3,$I$2)</f>
        <v>&lt;em&gt;7.6.7.5. Malaysia ABC Market Size and Forecast, by EE (2024-2032)&lt;/em&gt;</v>
      </c>
    </row>
    <row r="589" spans="10:11" x14ac:dyDescent="0.25">
      <c r="J589" t="s">
        <v>1887</v>
      </c>
      <c r="K589" t="str">
        <f>J589</f>
        <v>&lt;strong&gt;&lt;em&gt;7.6.8. Vietnam&lt;/em&gt;&lt;/strong&gt;</v>
      </c>
    </row>
    <row r="590" spans="10:11" x14ac:dyDescent="0.25">
      <c r="J590" t="s">
        <v>1888</v>
      </c>
      <c r="K590" t="str">
        <f>REPLACE(IF(A2&gt;0,REPLACE(J590,55,8,A2),""),FIND("ABC",J590,1),3,$I$2)</f>
        <v>&lt;em&gt;7.6.8.1. Vietnam ABC Market Size and Forecast, by AA (2024-2032)&lt;/em&gt;</v>
      </c>
    </row>
    <row r="591" spans="10:11" x14ac:dyDescent="0.25">
      <c r="J591" t="s">
        <v>1889</v>
      </c>
      <c r="K591" t="str">
        <f>REPLACE(IF(B2&gt;0,REPLACE(J591,55,8,B2),""),FIND("ABC",J591,1),3,$I$2)</f>
        <v>&lt;em&gt;7.6.8.2. Vietnam ABC Market Size and Forecast, by BB (2024-2032)&lt;/em&gt;</v>
      </c>
    </row>
    <row r="592" spans="10:11" x14ac:dyDescent="0.25">
      <c r="J592" t="s">
        <v>1890</v>
      </c>
      <c r="K592" t="str">
        <f>REPLACE(IF(C2&gt;0,REPLACE(J592,55,8,C2),""),FIND("ABC",J592,1),3,$I$2)</f>
        <v>&lt;em&gt;7.6.8.3. Vietnam ABC Market Size and Forecast, by CC (2024-2032)&lt;/em&gt;</v>
      </c>
    </row>
    <row r="593" spans="10:11" x14ac:dyDescent="0.25">
      <c r="J593" t="s">
        <v>1891</v>
      </c>
      <c r="K593" t="str">
        <f>REPLACE(IF(D2&gt;0,REPLACE(J593,55,8,D2),""),FIND("ABC",J593,1),3,$I$2)</f>
        <v>&lt;em&gt;7.6.8.4. Vietnam ABC Market Size and Forecast, by DD (2024-2032)&lt;/em&gt;</v>
      </c>
    </row>
    <row r="594" spans="10:11" x14ac:dyDescent="0.25">
      <c r="J594" t="s">
        <v>1892</v>
      </c>
      <c r="K594" t="str">
        <f>REPLACE(IF(E2&gt;0,REPLACE(J594,55,8,E2),""),FIND("ABC",J594,1),3,$I$2)</f>
        <v>&lt;em&gt;7.6.8.5. Vietnam ABC Market Size and Forecast, by EE (2024-2032)&lt;/em&gt;</v>
      </c>
    </row>
    <row r="595" spans="10:11" x14ac:dyDescent="0.25">
      <c r="J595" t="s">
        <v>1893</v>
      </c>
      <c r="K595" t="str">
        <f>J595</f>
        <v>&lt;strong&gt;&lt;em&gt;7.6.9. Taiwan&lt;/em&gt;&lt;/strong&gt;</v>
      </c>
    </row>
    <row r="596" spans="10:11" x14ac:dyDescent="0.25">
      <c r="J596" t="s">
        <v>1894</v>
      </c>
      <c r="K596" t="str">
        <f>REPLACE(IF(A2&gt;0,REPLACE(J596,54,8,A2),""),FIND("ABC",J596,1),3,$I$2)</f>
        <v>&lt;em&gt;7.6.9.1. Taiwan ABC Market Size and Forecast, by AA (2024-2032)&lt;/em&gt;</v>
      </c>
    </row>
    <row r="597" spans="10:11" x14ac:dyDescent="0.25">
      <c r="J597" t="s">
        <v>1895</v>
      </c>
      <c r="K597" t="str">
        <f>REPLACE(IF(B2&gt;0,REPLACE(J597,54,8,B2),""),FIND("ABC",J597,1),3,$I$2)</f>
        <v>&lt;em&gt;7.6.9.2. Taiwan ABC Market Size and Forecast, by BB (2024-2032)&lt;/em&gt;</v>
      </c>
    </row>
    <row r="598" spans="10:11" x14ac:dyDescent="0.25">
      <c r="J598" t="s">
        <v>1896</v>
      </c>
      <c r="K598" t="str">
        <f>REPLACE(IF(C2&gt;0,REPLACE(J598,54,8,C2),""),FIND("ABC",J598,1),3,$I$2)</f>
        <v>&lt;em&gt;7.6.9.3. Taiwan ABC Market Size and Forecast, by CC (2024-2032)&lt;/em&gt;</v>
      </c>
    </row>
    <row r="599" spans="10:11" x14ac:dyDescent="0.25">
      <c r="J599" t="s">
        <v>1897</v>
      </c>
      <c r="K599" t="str">
        <f>REPLACE(IF(D2&gt;0,REPLACE(J599,54,8,D2),""),FIND("ABC",J599,1),3,$I$2)</f>
        <v>&lt;em&gt;7.6.9.4. Taiwan ABC Market Size and Forecast, by DD (2024-2032)&lt;/em&gt;</v>
      </c>
    </row>
    <row r="600" spans="10:11" x14ac:dyDescent="0.25">
      <c r="J600" t="s">
        <v>1898</v>
      </c>
      <c r="K600" t="str">
        <f>REPLACE(IF(E2&gt;0,REPLACE(J600,54,8,E2),""),FIND("ABC",J600,1),3,$I$2)</f>
        <v>&lt;em&gt;7.6.9.5. Taiwan ABC Market Size and Forecast, by EE (2024-2032)&lt;/em&gt;</v>
      </c>
    </row>
    <row r="601" spans="10:11" x14ac:dyDescent="0.25">
      <c r="J601" t="s">
        <v>1899</v>
      </c>
      <c r="K601" t="str">
        <f>J601</f>
        <v>&lt;strong&gt;&lt;em&gt;7.6.10. Rest of Asia Pacific&lt;/em&gt;&lt;/strong&gt;</v>
      </c>
    </row>
    <row r="602" spans="10:11" x14ac:dyDescent="0.25">
      <c r="J602" t="s">
        <v>1900</v>
      </c>
      <c r="K602" t="str">
        <f>REPLACE(IF(A2&gt;0,REPLACE(J602,69,8,A2),""),FIND("ABC",J602,1),3,$I$2)</f>
        <v>&lt;em&gt;7.6.10.1. Rest of Asia Pacific ABC Market Size and Forecast, by AA (2024-2032)&lt;/em&gt;</v>
      </c>
    </row>
    <row r="603" spans="10:11" x14ac:dyDescent="0.25">
      <c r="J603" t="s">
        <v>1901</v>
      </c>
      <c r="K603" t="str">
        <f>REPLACE(IF(B2&gt;0,REPLACE(J603,69,8,B2),""),FIND("ABC",J603,1),3,$I$2)</f>
        <v>&lt;em&gt;7.6.10.2. Rest of Asia Pacific ABC Market Size and Forecast, by BB (2024-2032)&lt;/em&gt;</v>
      </c>
    </row>
    <row r="604" spans="10:11" x14ac:dyDescent="0.25">
      <c r="J604" t="s">
        <v>1902</v>
      </c>
      <c r="K604" t="str">
        <f>REPLACE(IF(C2&gt;0,REPLACE(J604,69,8,C2),""),FIND("ABC",J604,1),3,$I$2)</f>
        <v>&lt;em&gt;7.6.10.3. Rest of Asia Pacific ABC Market Size and Forecast, by CC (2024-2032)&lt;/em&gt;</v>
      </c>
    </row>
    <row r="605" spans="10:11" x14ac:dyDescent="0.25">
      <c r="J605" t="s">
        <v>1903</v>
      </c>
      <c r="K605" t="str">
        <f>REPLACE(IF(D2&gt;0,REPLACE(J605,69,8,D2),""),FIND("ABC",J605,1),3,$I$2)</f>
        <v>&lt;em&gt;7.6.10.4. Rest of Asia Pacific ABC Market Size and Forecast, by DD (2024-2032)&lt;/em&gt;</v>
      </c>
    </row>
    <row r="606" spans="10:11" x14ac:dyDescent="0.25">
      <c r="J606" t="s">
        <v>1904</v>
      </c>
      <c r="K606" t="str">
        <f>REPLACE(IF(E2&gt;0,REPLACE(J606,69,8,E2),""),FIND("ABC",J606,1),3,$I$2)</f>
        <v>&lt;em&gt;7.6.10.5. Rest of Asia Pacific ABC Market Size and Forecast, by EE (2024-2032)&lt;/em&gt;</v>
      </c>
    </row>
    <row r="608" spans="10:11" x14ac:dyDescent="0.25">
      <c r="J608" t="s">
        <v>1001</v>
      </c>
      <c r="K608" t="str">
        <f>REPLACE(J608,FIND("ABC",J608,1),3,I2)</f>
        <v>&lt;strong&gt;8. Middle East and Africa ABC Market Size and Forecast by Segmentation (by Value in USD Million) 2024-2032&lt;/strong&gt;</v>
      </c>
    </row>
    <row r="609" spans="10:11" x14ac:dyDescent="0.25">
      <c r="J609" t="s">
        <v>1002</v>
      </c>
      <c r="K609" t="str">
        <f>REPLACE(IF(A2&gt;0,REPLACE(J609,62,8,A2),""),FIND("ABC",J609,1),3,$I$2)</f>
        <v>8.1. Middle East and Africa ABC Market Size and Forecast, by AA (2024-2032)</v>
      </c>
    </row>
    <row r="610" spans="10:11" x14ac:dyDescent="0.25">
      <c r="J610" t="s">
        <v>1003</v>
      </c>
      <c r="K610" t="str">
        <f>REPLACE(IF(B2&gt;0,REPLACE(J610,62,8,B2),""),FIND("ABC",J610,1),3,$I$2)</f>
        <v>8.2. Middle East and Africa ABC Market Size and Forecast, by BB (2024-2032)</v>
      </c>
    </row>
    <row r="611" spans="10:11" x14ac:dyDescent="0.25">
      <c r="J611" t="s">
        <v>1004</v>
      </c>
      <c r="K611" t="str">
        <f>REPLACE(IF(C2&gt;0,REPLACE(J611,62,8,C2),""),FIND("ABC",J611,1),3,$I$2)</f>
        <v>8.3. Middle East and Africa ABC Market Size and Forecast, by CC (2024-2032)</v>
      </c>
    </row>
    <row r="612" spans="10:11" x14ac:dyDescent="0.25">
      <c r="J612" t="s">
        <v>1005</v>
      </c>
      <c r="K612" t="str">
        <f>REPLACE(IF(D2&gt;0,REPLACE(J612,62,8,D2),""),FIND("ABC",J612,1),3,$I$2)</f>
        <v>8.4. Middle East and Africa ABC Market Size and Forecast, by DD (2024-2032)</v>
      </c>
    </row>
    <row r="613" spans="10:11" x14ac:dyDescent="0.25">
      <c r="J613" t="s">
        <v>1006</v>
      </c>
      <c r="K613" t="str">
        <f>REPLACE(IF(E2&gt;0,REPLACE(J613,62,8,E2),""),FIND("ABC",J613,1),3,$I$2)</f>
        <v>8.5. Middle East and Africa ABC Market Size and Forecast, by EE (2024-2032)</v>
      </c>
    </row>
    <row r="614" spans="10:11" x14ac:dyDescent="0.25">
      <c r="J614" t="s">
        <v>1905</v>
      </c>
      <c r="K614" t="str">
        <f>REPLACE(J614,FIND("ABC",J614,1),3,$I$2)</f>
        <v>8.6. Middle East and Africa ABC Market Size and Forecast, by Country (2024-2032)</v>
      </c>
    </row>
    <row r="615" spans="10:11" x14ac:dyDescent="0.25">
      <c r="J615" t="s">
        <v>1906</v>
      </c>
      <c r="K615" t="str">
        <f>J615</f>
        <v>&lt;strong&gt;&lt;em&gt;8.6.1. South Africa&lt;/em&gt;&lt;/strong&gt;</v>
      </c>
    </row>
    <row r="616" spans="10:11" x14ac:dyDescent="0.25">
      <c r="J616" t="s">
        <v>1907</v>
      </c>
      <c r="K616" t="str">
        <f>REPLACE(IF(A2&gt;0,REPLACE(J616,60,8,A2),""),FIND("ABC",J616,1),3,$I$2)</f>
        <v>&lt;em&gt;8.6.1.1. South Africa ABC Market Size and Forecast, by AA (2024-2032)&lt;/em&gt;</v>
      </c>
    </row>
    <row r="617" spans="10:11" x14ac:dyDescent="0.25">
      <c r="J617" t="s">
        <v>1908</v>
      </c>
      <c r="K617" t="str">
        <f>REPLACE(IF(B2&gt;0,REPLACE(J617,60,8,B2),""),FIND("ABC",J617,1),3,$I$2)</f>
        <v>&lt;em&gt;8.6.1.2. South Africa ABC Market Size and Forecast, by BB (2024-2032)&lt;/em&gt;</v>
      </c>
    </row>
    <row r="618" spans="10:11" x14ac:dyDescent="0.25">
      <c r="J618" t="s">
        <v>1909</v>
      </c>
      <c r="K618" t="str">
        <f>REPLACE(IF(C2&gt;0,REPLACE(J618,60,8,C2),""),FIND("ABC",J618,1),3,$I$2)</f>
        <v>&lt;em&gt;8.6.1.3. South Africa ABC Market Size and Forecast, by CC (2024-2032)&lt;/em&gt;</v>
      </c>
    </row>
    <row r="619" spans="10:11" x14ac:dyDescent="0.25">
      <c r="J619" t="s">
        <v>1910</v>
      </c>
      <c r="K619" t="str">
        <f>REPLACE(IF(D2&gt;0,REPLACE(J619,60,8,D2),""),FIND("ABC",J619,1),3,$I$2)</f>
        <v>&lt;em&gt;8.6.1.4. South Africa ABC Market Size and Forecast, by DD (2024-2032)&lt;/em&gt;</v>
      </c>
    </row>
    <row r="620" spans="10:11" x14ac:dyDescent="0.25">
      <c r="J620" t="s">
        <v>1911</v>
      </c>
      <c r="K620" t="str">
        <f>REPLACE(IF(E2&gt;0,REPLACE(J620,60,8,E2),""),FIND("ABC",J620,1),3,$I$2)</f>
        <v>&lt;em&gt;8.6.1.5. South Africa ABC Market Size and Forecast, by EE (2024-2032)&lt;/em&gt;</v>
      </c>
    </row>
    <row r="621" spans="10:11" x14ac:dyDescent="0.25">
      <c r="J621" t="s">
        <v>1912</v>
      </c>
      <c r="K621" t="str">
        <f>J621</f>
        <v>&lt;strong&gt;&lt;em&gt;8.6.2. GCC&lt;/em&gt;&lt;/strong&gt;</v>
      </c>
    </row>
    <row r="622" spans="10:11" x14ac:dyDescent="0.25">
      <c r="J622" t="s">
        <v>1913</v>
      </c>
      <c r="K622" t="str">
        <f>REPLACE(IF(A2&gt;0,REPLACE(J622,51,8,A2),""),FIND("ABC",J622,1),3,$I$2)</f>
        <v>&lt;em&gt;8.6.2.1. GCC ABC Market Size and Forecast, by AA (2024-2032)&lt;/em&gt;</v>
      </c>
    </row>
    <row r="623" spans="10:11" x14ac:dyDescent="0.25">
      <c r="J623" t="s">
        <v>1914</v>
      </c>
      <c r="K623" t="str">
        <f>REPLACE(IF(B2&gt;0,REPLACE(J623,51,8,B2),""),FIND("ABC",J623,1),3,$I$2)</f>
        <v>&lt;em&gt;8.6.2.2. GCC ABC Market Size and Forecast, by BB (2024-2032)&lt;/em&gt;</v>
      </c>
    </row>
    <row r="624" spans="10:11" x14ac:dyDescent="0.25">
      <c r="J624" t="s">
        <v>1915</v>
      </c>
      <c r="K624" t="str">
        <f>REPLACE(IF(C2&gt;0,REPLACE(J624,51,8,C2),""),FIND("ABC",J624,1),3,$I$2)</f>
        <v>&lt;em&gt;8.6.2.3. GCC ABC Market Size and Forecast, by CC (2024-2032)&lt;/em&gt;</v>
      </c>
    </row>
    <row r="625" spans="10:11" x14ac:dyDescent="0.25">
      <c r="J625" t="s">
        <v>1916</v>
      </c>
      <c r="K625" t="str">
        <f>REPLACE(IF(D2&gt;0,REPLACE(J625,51,8,D2),""),FIND("ABC",J625,1),3,$I$2)</f>
        <v>&lt;em&gt;8.6.2.4. GCC ABC Market Size and Forecast, by DD (2024-2032)&lt;/em&gt;</v>
      </c>
    </row>
    <row r="626" spans="10:11" x14ac:dyDescent="0.25">
      <c r="J626" t="s">
        <v>1917</v>
      </c>
      <c r="K626" t="str">
        <f>REPLACE(IF(E2&gt;0,REPLACE(J626,51,8,E2),""),FIND("ABC",J626,1),3,$I$2)</f>
        <v>&lt;em&gt;8.6.2.5. GCC ABC Market Size and Forecast, by EE (2024-2032)&lt;/em&gt;</v>
      </c>
    </row>
    <row r="627" spans="10:11" x14ac:dyDescent="0.25">
      <c r="J627" t="s">
        <v>1918</v>
      </c>
      <c r="K627" t="str">
        <f>J627</f>
        <v>&lt;strong&gt;&lt;em&gt;8.6.3. Nigeria&lt;/em&gt;&lt;/strong&gt;</v>
      </c>
    </row>
    <row r="628" spans="10:11" x14ac:dyDescent="0.25">
      <c r="J628" t="s">
        <v>1919</v>
      </c>
      <c r="K628" t="str">
        <f>REPLACE(IF(A2&gt;0,REPLACE(J628,55,8,A2),""),FIND("ABC",J628,1),3,$I$2)</f>
        <v>&lt;em&gt;8.6.3.1. Nigeria ABC Market Size and Forecast, by AA (2024-2032)&lt;/em&gt;</v>
      </c>
    </row>
    <row r="629" spans="10:11" x14ac:dyDescent="0.25">
      <c r="J629" t="s">
        <v>1920</v>
      </c>
      <c r="K629" t="str">
        <f>REPLACE(IF(B2&gt;0,REPLACE(J629,55,8,B2),""),FIND("ABC",J629,1),3,$I$2)</f>
        <v>&lt;em&gt;8.6.3.2. Nigeria ABC Market Size and Forecast, by BB (2024-2032)&lt;/em&gt;</v>
      </c>
    </row>
    <row r="630" spans="10:11" x14ac:dyDescent="0.25">
      <c r="J630" t="s">
        <v>1921</v>
      </c>
      <c r="K630" t="str">
        <f>REPLACE(IF(C2&gt;0,REPLACE(J630,55,8,C2),""),FIND("ABC",J630,1),3,$I$2)</f>
        <v>&lt;em&gt;8.6.3.3. Nigeria ABC Market Size and Forecast, by CC (2024-2032)&lt;/em&gt;</v>
      </c>
    </row>
    <row r="631" spans="10:11" x14ac:dyDescent="0.25">
      <c r="J631" t="s">
        <v>1922</v>
      </c>
      <c r="K631" t="str">
        <f>REPLACE(IF(D2&gt;0,REPLACE(J631,55,8,D2),""),FIND("ABC",J631,1),3,$I$2)</f>
        <v>&lt;em&gt;8.6.3.4. Nigeria ABC Market Size and Forecast, by DD (2024-2032)&lt;/em&gt;</v>
      </c>
    </row>
    <row r="632" spans="10:11" x14ac:dyDescent="0.25">
      <c r="J632" t="s">
        <v>1923</v>
      </c>
      <c r="K632" t="str">
        <f>REPLACE(IF(E2&gt;0,REPLACE(J632,55,8,E2),""),FIND("ABC",J632,1),3,$I$2)</f>
        <v>&lt;em&gt;8.6.3.5. Nigeria ABC Market Size and Forecast, by EE (2024-2032)&lt;/em&gt;</v>
      </c>
    </row>
    <row r="633" spans="10:11" x14ac:dyDescent="0.25">
      <c r="J633" t="s">
        <v>1924</v>
      </c>
      <c r="K633" t="str">
        <f>J633</f>
        <v>&lt;strong&gt;&lt;em&gt;8.6.4. Rest of ME&amp;amp;A&lt;/em&gt;&lt;/strong&gt;</v>
      </c>
    </row>
    <row r="634" spans="10:11" x14ac:dyDescent="0.25">
      <c r="J634" t="s">
        <v>1925</v>
      </c>
      <c r="K634" t="str">
        <f>REPLACE(IF(A2&gt;0,REPLACE(J634,64,8,A2),""),FIND("ABC",J634,1),3,$I$2)</f>
        <v>&lt;em&gt;8.6.4.1. Rest of ME&amp;amp;A ABC Market Size and Forecast, by AA (2024-2032)&lt;/em&gt;</v>
      </c>
    </row>
    <row r="635" spans="10:11" x14ac:dyDescent="0.25">
      <c r="J635" t="s">
        <v>1926</v>
      </c>
      <c r="K635" t="str">
        <f>REPLACE(IF(B2&gt;0,REPLACE(J635,64,8,B2),""),FIND("ABC",J635,1),3,$I$2)</f>
        <v>&lt;em&gt;8.6.4.2. Rest of ME&amp;amp;A ABC Market Size and Forecast, by BB (2024-2032)&lt;/em&gt;</v>
      </c>
    </row>
    <row r="636" spans="10:11" x14ac:dyDescent="0.25">
      <c r="J636" t="s">
        <v>1927</v>
      </c>
      <c r="K636" t="str">
        <f>REPLACE(IF(C2&gt;0,REPLACE(J636,64,8,C2),""),FIND("ABC",J636,1),3,$I$2)</f>
        <v>&lt;em&gt;8.6.4.3. Rest of ME&amp;amp;A ABC Market Size and Forecast, by CC (2024-2032)&lt;/em&gt;</v>
      </c>
    </row>
    <row r="637" spans="10:11" x14ac:dyDescent="0.25">
      <c r="J637" t="s">
        <v>1928</v>
      </c>
      <c r="K637" t="str">
        <f>REPLACE(IF(D2&gt;0,REPLACE(J637,64,8,D2),""),FIND("ABC",J637,1),3,$I$2)</f>
        <v>&lt;em&gt;8.6.4.4. Rest of ME&amp;amp;A ABC Market Size and Forecast, by DD (2024-2032)&lt;/em&gt;</v>
      </c>
    </row>
    <row r="638" spans="10:11" x14ac:dyDescent="0.25">
      <c r="J638" t="s">
        <v>1929</v>
      </c>
      <c r="K638" t="str">
        <f>REPLACE(IF(E2&gt;0,REPLACE(J638,64,8,E2),""),FIND("ABC",J638,1),3,$I$2)</f>
        <v>&lt;em&gt;8.6.4.5. Rest of ME&amp;amp;A ABC Market Size and Forecast, by EE (2024-2032)&lt;/em&gt;</v>
      </c>
    </row>
    <row r="640" spans="10:11" x14ac:dyDescent="0.25">
      <c r="J640" t="s">
        <v>1038</v>
      </c>
      <c r="K640" t="str">
        <f>REPLACE(J640,FIND("ABC",J640,1),3,$I$2)</f>
        <v>&lt;strong&gt;9. South America ABC Market Size and Forecast by Segmentation (by Value in USD Million) 2024-2032&lt;/strong&gt;</v>
      </c>
    </row>
    <row r="641" spans="10:11" x14ac:dyDescent="0.25">
      <c r="J641" t="s">
        <v>1039</v>
      </c>
      <c r="K641" t="str">
        <f>REPLACE(IF(A2&gt;0,REPLACE(J641,53,8,A2),""),FIND("ABC",J641,1),3,$I$2)</f>
        <v>9.1. South America ABC Market Size and Forecast, by AA (2024-2032)</v>
      </c>
    </row>
    <row r="642" spans="10:11" x14ac:dyDescent="0.25">
      <c r="J642" t="s">
        <v>1040</v>
      </c>
      <c r="K642" t="str">
        <f>REPLACE(IF(B2&gt;0,REPLACE(J642,53,8,B2),""),FIND("ABC",J642,1),3,$I$2)</f>
        <v>9.2. South America ABC Market Size and Forecast, by BB (2024-2032)</v>
      </c>
    </row>
    <row r="643" spans="10:11" x14ac:dyDescent="0.25">
      <c r="J643" t="s">
        <v>1041</v>
      </c>
      <c r="K643" t="str">
        <f>REPLACE(IF(C2&gt;0,REPLACE(J643,53,8,C2),""),FIND("ABC",J643,1),3,$I$2)</f>
        <v>9.3. South America ABC Market Size and Forecast, by CC(2024-2032)</v>
      </c>
    </row>
    <row r="644" spans="10:11" x14ac:dyDescent="0.25">
      <c r="J644" t="s">
        <v>1042</v>
      </c>
      <c r="K644" t="str">
        <f>REPLACE(IF(D2&gt;0,REPLACE(J644,53,8,D2),""),FIND("ABC",J644,1),3,$I$2)</f>
        <v>9.4. South America ABC Market Size and Forecast, by DD (2024-2032)</v>
      </c>
    </row>
    <row r="645" spans="10:11" x14ac:dyDescent="0.25">
      <c r="J645" t="s">
        <v>1043</v>
      </c>
      <c r="K645" t="str">
        <f>REPLACE(IF(E2&gt;0,REPLACE(J645,53,8,E2),""),FIND("ABC",J645,1),3,$I$2)</f>
        <v>9.5. South America ABC Market Size and Forecast, by EE (2024-2032)</v>
      </c>
    </row>
    <row r="646" spans="10:11" x14ac:dyDescent="0.25">
      <c r="J646" t="s">
        <v>1930</v>
      </c>
      <c r="K646" t="str">
        <f>REPLACE(J646,FIND("ABC",J646,1),3,$I$2)</f>
        <v>9.6. South America ABC Market Size and Forecast, by Country (2024-2032)</v>
      </c>
    </row>
    <row r="647" spans="10:11" x14ac:dyDescent="0.25">
      <c r="J647" t="s">
        <v>1931</v>
      </c>
      <c r="K647" t="str">
        <f>J647</f>
        <v>&lt;strong&gt;&lt;em&gt;9.6.1. Brazil&lt;/em&gt;&lt;/strong&gt;</v>
      </c>
    </row>
    <row r="648" spans="10:11" x14ac:dyDescent="0.25">
      <c r="J648" t="s">
        <v>1932</v>
      </c>
      <c r="K648" t="str">
        <f>REPLACE(IF(A2&gt;0,REPLACE(J648,54,8,A2),""),FIND("ABC",J648,1),3,$I$2)</f>
        <v>&lt;em&gt;9.6.1.1. Brazil ABC Market Size and Forecast, by AA (2024-2032)&lt;/em&gt;</v>
      </c>
    </row>
    <row r="649" spans="10:11" x14ac:dyDescent="0.25">
      <c r="J649" t="s">
        <v>1933</v>
      </c>
      <c r="K649" t="str">
        <f>REPLACE(IF(B2&gt;0,REPLACE(J649,54,8,B2),""),FIND("ABC",J649,1),3,$I$2)</f>
        <v>&lt;em&gt;9.6.1.2. Brazil ABC Market Size and Forecast, by BB (2024-2032)&lt;/em&gt;</v>
      </c>
    </row>
    <row r="650" spans="10:11" x14ac:dyDescent="0.25">
      <c r="J650" t="s">
        <v>1934</v>
      </c>
      <c r="K650" t="str">
        <f>REPLACE(IF(C2&gt;0,REPLACE(J650,54,8,C2),""),FIND("ABC",J650,1),3,$I$2)</f>
        <v>&lt;em&gt;9.6.1.3. Brazil ABC Market Size and Forecast, by CC (2024-2032)&lt;/em&gt;</v>
      </c>
    </row>
    <row r="651" spans="10:11" x14ac:dyDescent="0.25">
      <c r="J651" t="s">
        <v>1935</v>
      </c>
      <c r="K651" t="str">
        <f>REPLACE(IF(D2&gt;0,REPLACE(J651,54,8,D2),""),FIND("ABC",J651,1),3,$I$2)</f>
        <v>&lt;em&gt;9.6.1.4. Brazil ABC Market Size and Forecast, by DD (2024-2032)&lt;/em&gt;</v>
      </c>
    </row>
    <row r="652" spans="10:11" x14ac:dyDescent="0.25">
      <c r="J652" t="s">
        <v>1936</v>
      </c>
      <c r="K652" t="str">
        <f>REPLACE(IF(E2&gt;0,REPLACE(J652,54,8,E2),""),FIND("ABC",J652,1),3,$I$2)</f>
        <v>&lt;em&gt;9.6.1.5. Brazil ABC Market Size and Forecast, by EE (2024-2032)&lt;/em&gt;</v>
      </c>
    </row>
    <row r="653" spans="10:11" x14ac:dyDescent="0.25">
      <c r="J653" t="s">
        <v>1937</v>
      </c>
      <c r="K653" t="str">
        <f>J653</f>
        <v>&lt;strong&gt;&lt;em&gt;9.6.2. Argentina&lt;/em&gt;&lt;/strong&gt;</v>
      </c>
    </row>
    <row r="654" spans="10:11" x14ac:dyDescent="0.25">
      <c r="J654" t="s">
        <v>1938</v>
      </c>
      <c r="K654" t="str">
        <f>REPLACE(IF(A2&gt;0,REPLACE(J654,57,8,A2),""),FIND("ABC",J654,1),3,$I$2)</f>
        <v>&lt;em&gt;9.6.2.1. Argentina ABC Market Size and Forecast, by AA (2024-2032)&lt;/em&gt;</v>
      </c>
    </row>
    <row r="655" spans="10:11" x14ac:dyDescent="0.25">
      <c r="J655" t="s">
        <v>1939</v>
      </c>
      <c r="K655" t="str">
        <f>REPLACE(IF(B2&gt;0,REPLACE(J655,57,8,B2),""),FIND("ABC",J655,1),3,$I$2)</f>
        <v>&lt;em&gt;9.6.2.2. Argentina ABC Market Size and Forecast, by BB (2024-2032)&lt;/em&gt;</v>
      </c>
    </row>
    <row r="656" spans="10:11" x14ac:dyDescent="0.25">
      <c r="J656" t="s">
        <v>1940</v>
      </c>
      <c r="K656" t="str">
        <f>REPLACE(IF(C2&gt;0,REPLACE(J656,57,8,C2),""),FIND("ABC",J656,1),3,$I$2)</f>
        <v>&lt;em&gt;9.6.2.3. Argentina ABC Market Size and Forecast, by CC (2024-2032)&lt;/em&gt;</v>
      </c>
    </row>
    <row r="657" spans="10:11" x14ac:dyDescent="0.25">
      <c r="J657" t="s">
        <v>1941</v>
      </c>
      <c r="K657" t="str">
        <f>REPLACE(IF(D2&gt;0,REPLACE(J657,57,8,D2),""),FIND("ABC",J657,1),3,$I$2)</f>
        <v>&lt;em&gt;9.6.2.4. Argentina ABC Market Size and Forecast, by DD (2024-2032)&lt;/em&gt;</v>
      </c>
    </row>
    <row r="658" spans="10:11" x14ac:dyDescent="0.25">
      <c r="J658" t="s">
        <v>1942</v>
      </c>
      <c r="K658" t="str">
        <f>REPLACE(IF(E2&gt;0,REPLACE(J658,57,8,E2),""),FIND("ABC",J658,1),3,$I$2)</f>
        <v>&lt;em&gt;9.6.2.5. Argentina ABC Market Size and Forecast, by EE (2024-2032)&lt;/em&gt;</v>
      </c>
    </row>
    <row r="659" spans="10:11" x14ac:dyDescent="0.25">
      <c r="J659" t="s">
        <v>1943</v>
      </c>
      <c r="K659" t="str">
        <f>J659</f>
        <v>&lt;strong&gt;&lt;em&gt;9.6.3. Rest Of South America&lt;/em&gt;&lt;/strong&gt;</v>
      </c>
    </row>
    <row r="660" spans="10:11" x14ac:dyDescent="0.25">
      <c r="J660" t="s">
        <v>1944</v>
      </c>
      <c r="K660" t="str">
        <f>REPLACE(IF(A2&gt;0,REPLACE(J660,69,8,A2),""),FIND("ABC",J660,1),3,$I$2)</f>
        <v>&lt;em&gt;9.6.3.1. Rest Of South America ABC Market Size and Forecast, by AA (2024-2032)&lt;/em&gt;</v>
      </c>
    </row>
    <row r="661" spans="10:11" x14ac:dyDescent="0.25">
      <c r="J661" t="s">
        <v>1945</v>
      </c>
      <c r="K661" t="str">
        <f>REPLACE(IF(B2&gt;0,REPLACE(J661,69,8,B2),""),FIND("ABC",J661,1),3,$I$2)</f>
        <v>&lt;em&gt;9.6.3.2. Rest Of South America ABC Market Size and Forecast, by BB (2024-2032)&lt;/em&gt;</v>
      </c>
    </row>
    <row r="662" spans="10:11" x14ac:dyDescent="0.25">
      <c r="J662" t="s">
        <v>1946</v>
      </c>
      <c r="K662" t="str">
        <f>REPLACE(IF(C2&gt;0,REPLACE(J662,69,8,C2),""),FIND("ABC",J662,1),3,$I$2)</f>
        <v>&lt;em&gt;9.6.3.3. Rest Of South America ABC Market Size and Forecast, by CC (2024-2032)&lt;/em&gt;</v>
      </c>
    </row>
    <row r="663" spans="10:11" x14ac:dyDescent="0.25">
      <c r="J663" t="s">
        <v>1947</v>
      </c>
      <c r="K663" t="str">
        <f>REPLACE(IF(D2&gt;0,REPLACE(J663,69,8,D2),""),FIND("ABC",J663,1),3,$I$2)</f>
        <v>&lt;em&gt;9.6.3.4. Rest Of South America ABC Market Size and Forecast, by DD (2024-2032)&lt;/em&gt;</v>
      </c>
    </row>
    <row r="664" spans="10:11" x14ac:dyDescent="0.25">
      <c r="J664" t="s">
        <v>1948</v>
      </c>
      <c r="K664" t="str">
        <f>REPLACE(IF(E2&gt;0,REPLACE(J664,69,8,E2),""),FIND("ABC",J664,1),3,$I$2)</f>
        <v>&lt;em&gt;9.6.3.5. Rest Of South America ABC Market Size and Forecast, by EE (2024-2032)&lt;/em&gt;</v>
      </c>
    </row>
    <row r="666" spans="10:11" x14ac:dyDescent="0.25">
      <c r="J666" t="s">
        <v>58</v>
      </c>
      <c r="K666" t="s">
        <v>58</v>
      </c>
    </row>
    <row r="667" spans="10:11" x14ac:dyDescent="0.25">
      <c r="J667" t="s">
        <v>87</v>
      </c>
      <c r="K667" t="str">
        <f>IF(H4&gt;0,REPLACE(J667,7,8,H4),"")</f>
        <v>10.1. Company1</v>
      </c>
    </row>
    <row r="668" spans="10:11" x14ac:dyDescent="0.25">
      <c r="J668" t="s">
        <v>59</v>
      </c>
      <c r="K668" t="s">
        <v>59</v>
      </c>
    </row>
    <row r="669" spans="10:11" x14ac:dyDescent="0.25">
      <c r="J669" t="s">
        <v>60</v>
      </c>
      <c r="K669" t="s">
        <v>60</v>
      </c>
    </row>
    <row r="670" spans="10:11" x14ac:dyDescent="0.25">
      <c r="J670" t="s">
        <v>61</v>
      </c>
      <c r="K670" t="s">
        <v>61</v>
      </c>
    </row>
    <row r="671" spans="10:11" x14ac:dyDescent="0.25">
      <c r="J671" t="s">
        <v>62</v>
      </c>
      <c r="K671" t="s">
        <v>62</v>
      </c>
    </row>
    <row r="672" spans="10:11" x14ac:dyDescent="0.25">
      <c r="J672" t="s">
        <v>63</v>
      </c>
      <c r="K672" t="s">
        <v>63</v>
      </c>
    </row>
    <row r="673" spans="10:11" x14ac:dyDescent="0.25">
      <c r="J673" t="s">
        <v>64</v>
      </c>
      <c r="K673" t="s">
        <v>64</v>
      </c>
    </row>
    <row r="674" spans="10:11" x14ac:dyDescent="0.25">
      <c r="J674" t="s">
        <v>65</v>
      </c>
      <c r="K674" t="s">
        <v>65</v>
      </c>
    </row>
    <row r="675" spans="10:11" x14ac:dyDescent="0.25">
      <c r="J675" t="s">
        <v>66</v>
      </c>
      <c r="K675" t="s">
        <v>66</v>
      </c>
    </row>
    <row r="676" spans="10:11" x14ac:dyDescent="0.25">
      <c r="J676" t="s">
        <v>67</v>
      </c>
      <c r="K676" t="s">
        <v>67</v>
      </c>
    </row>
    <row r="677" spans="10:11" x14ac:dyDescent="0.25">
      <c r="J677" t="s">
        <v>68</v>
      </c>
      <c r="K677" t="s">
        <v>68</v>
      </c>
    </row>
    <row r="678" spans="10:11" x14ac:dyDescent="0.25">
      <c r="J678" t="s">
        <v>88</v>
      </c>
      <c r="K678" t="str">
        <f>IF(H5&gt;0,REPLACE(J678,7,8,H5),"")</f>
        <v/>
      </c>
    </row>
    <row r="679" spans="10:11" x14ac:dyDescent="0.25">
      <c r="J679" t="s">
        <v>89</v>
      </c>
      <c r="K679" t="str">
        <f>IF(H6&gt;0,REPLACE(J679,7,8,H6),"")</f>
        <v/>
      </c>
    </row>
    <row r="680" spans="10:11" x14ac:dyDescent="0.25">
      <c r="J680" t="s">
        <v>90</v>
      </c>
      <c r="K680" t="str">
        <f>IF(H7&gt;0,REPLACE(J680,7,8,H7),"")</f>
        <v/>
      </c>
    </row>
    <row r="681" spans="10:11" x14ac:dyDescent="0.25">
      <c r="J681" t="s">
        <v>91</v>
      </c>
      <c r="K681" t="str">
        <f>IF(H8&gt;0,REPLACE(J681,7,8,H8),"")</f>
        <v/>
      </c>
    </row>
    <row r="682" spans="10:11" x14ac:dyDescent="0.25">
      <c r="J682" t="s">
        <v>92</v>
      </c>
      <c r="K682" t="str">
        <f>IF(H9&gt;0,REPLACE(J682,7,8,H9),"")</f>
        <v/>
      </c>
    </row>
    <row r="683" spans="10:11" x14ac:dyDescent="0.25">
      <c r="J683" t="s">
        <v>93</v>
      </c>
      <c r="K683" t="str">
        <f>IF(H10&gt;0,REPLACE(J683,7,8,H10),"")</f>
        <v/>
      </c>
    </row>
    <row r="684" spans="10:11" x14ac:dyDescent="0.25">
      <c r="J684" t="s">
        <v>94</v>
      </c>
      <c r="K684" t="str">
        <f>IF(H11&gt;0,REPLACE(J684,7,8,H11),"")</f>
        <v/>
      </c>
    </row>
    <row r="685" spans="10:11" x14ac:dyDescent="0.25">
      <c r="J685" t="s">
        <v>95</v>
      </c>
      <c r="K685" t="str">
        <f>IF(H12&gt;0,REPLACE(J685,7,8,H12),"")</f>
        <v/>
      </c>
    </row>
    <row r="686" spans="10:11" x14ac:dyDescent="0.25">
      <c r="J686" t="s">
        <v>96</v>
      </c>
      <c r="K686" t="str">
        <f>IF(H13&gt;0,REPLACE(J686,8,9,H13),"")</f>
        <v/>
      </c>
    </row>
    <row r="687" spans="10:11" x14ac:dyDescent="0.25">
      <c r="J687" t="s">
        <v>97</v>
      </c>
      <c r="K687" t="str">
        <f>IF(H14&gt;0,REPLACE(J687,8,9,H14),"")</f>
        <v/>
      </c>
    </row>
    <row r="688" spans="10:11" x14ac:dyDescent="0.25">
      <c r="J688" t="s">
        <v>98</v>
      </c>
      <c r="K688" t="str">
        <f>IF(H15&gt;0,REPLACE(J688,8,9,H15),"")</f>
        <v/>
      </c>
    </row>
    <row r="689" spans="10:11" x14ac:dyDescent="0.25">
      <c r="J689" t="s">
        <v>99</v>
      </c>
      <c r="K689" t="str">
        <f>IF(H16&gt;0,REPLACE(J689,8,9,H16),"")</f>
        <v/>
      </c>
    </row>
    <row r="690" spans="10:11" x14ac:dyDescent="0.25">
      <c r="J690" t="s">
        <v>100</v>
      </c>
      <c r="K690" t="str">
        <f>IF(H17&gt;0,REPLACE(J690,8,9,H17),"")</f>
        <v/>
      </c>
    </row>
    <row r="691" spans="10:11" x14ac:dyDescent="0.25">
      <c r="J691" t="s">
        <v>101</v>
      </c>
      <c r="K691" t="str">
        <f>IF(H18&gt;0,REPLACE(J691,8,9,H18),"")</f>
        <v/>
      </c>
    </row>
    <row r="692" spans="10:11" x14ac:dyDescent="0.25">
      <c r="J692" t="s">
        <v>102</v>
      </c>
      <c r="K692" t="str">
        <f>IF(H19&gt;0,REPLACE(J692,8,9,H19),"")</f>
        <v/>
      </c>
    </row>
    <row r="693" spans="10:11" x14ac:dyDescent="0.25">
      <c r="J693" t="s">
        <v>103</v>
      </c>
      <c r="K693" t="str">
        <f>IF(H20&gt;0,REPLACE(J693,8,9,H20),"")</f>
        <v/>
      </c>
    </row>
    <row r="694" spans="10:11" x14ac:dyDescent="0.25">
      <c r="J694" t="s">
        <v>104</v>
      </c>
      <c r="K694" t="str">
        <f>IF(H21&gt;0,REPLACE(J694,8,9,H21),"")</f>
        <v/>
      </c>
    </row>
    <row r="695" spans="10:11" x14ac:dyDescent="0.25">
      <c r="J695" t="s">
        <v>105</v>
      </c>
      <c r="K695" t="str">
        <f>IF(H22&gt;0,REPLACE(J695,8,9,H22),"")</f>
        <v/>
      </c>
    </row>
    <row r="696" spans="10:11" x14ac:dyDescent="0.25">
      <c r="J696" t="s">
        <v>106</v>
      </c>
      <c r="K696" t="str">
        <f>IF(H23&gt;0,REPLACE(J696,8,9,H23),"")</f>
        <v/>
      </c>
    </row>
    <row r="697" spans="10:11" x14ac:dyDescent="0.25">
      <c r="J697" t="s">
        <v>107</v>
      </c>
      <c r="K697" t="str">
        <f>IF(H24&gt;0,REPLACE(J697,8,9,H24),"")</f>
        <v/>
      </c>
    </row>
    <row r="698" spans="10:11" x14ac:dyDescent="0.25">
      <c r="J698" t="s">
        <v>108</v>
      </c>
      <c r="K698" t="str">
        <f>IF(H25&gt;0,REPLACE(J698,8,9,H25),"")</f>
        <v/>
      </c>
    </row>
    <row r="699" spans="10:11" x14ac:dyDescent="0.25">
      <c r="J699" t="s">
        <v>109</v>
      </c>
      <c r="K699" t="str">
        <f>IF(H26&gt;0,REPLACE(J699,8,9,H26),"")</f>
        <v/>
      </c>
    </row>
    <row r="700" spans="10:11" x14ac:dyDescent="0.25">
      <c r="J700" t="s">
        <v>110</v>
      </c>
      <c r="K700" t="str">
        <f>IF(H27&gt;0,REPLACE(J700,8,9,H27),"")</f>
        <v/>
      </c>
    </row>
    <row r="701" spans="10:11" x14ac:dyDescent="0.25">
      <c r="J701" t="s">
        <v>111</v>
      </c>
      <c r="K701" t="str">
        <f>IF(H28&gt;0,REPLACE(J701,8,9,H28),"")</f>
        <v/>
      </c>
    </row>
    <row r="702" spans="10:11" x14ac:dyDescent="0.25">
      <c r="J702" t="s">
        <v>112</v>
      </c>
      <c r="K702" t="str">
        <f>IF(H29&gt;0,REPLACE(J702,8,9,H29),"")</f>
        <v/>
      </c>
    </row>
    <row r="703" spans="10:11" x14ac:dyDescent="0.25">
      <c r="J703" t="s">
        <v>113</v>
      </c>
      <c r="K703" t="str">
        <f>IF(H30&gt;0,REPLACE(J703,8,9,H30),"")</f>
        <v/>
      </c>
    </row>
    <row r="704" spans="10:11" x14ac:dyDescent="0.25">
      <c r="J704" t="s">
        <v>114</v>
      </c>
      <c r="K704" t="str">
        <f>IF(H31&gt;0,REPLACE(J704,8,9,H31),"")</f>
        <v/>
      </c>
    </row>
    <row r="705" spans="10:11" x14ac:dyDescent="0.25">
      <c r="J705" t="s">
        <v>115</v>
      </c>
      <c r="K705" t="str">
        <f>IF(H32&gt;0,REPLACE(J705,8,9,H32),"")</f>
        <v/>
      </c>
    </row>
    <row r="706" spans="10:11" x14ac:dyDescent="0.25">
      <c r="J706" t="s">
        <v>116</v>
      </c>
      <c r="K706" t="str">
        <f>IF(H33&gt;0,REPLACE(J706,8,9,H33),"")</f>
        <v/>
      </c>
    </row>
    <row r="707" spans="10:11" x14ac:dyDescent="0.25">
      <c r="J707" t="s">
        <v>160</v>
      </c>
      <c r="K707" t="str">
        <f>IF(H34&gt;0,REPLACE(J707,8,9,H34),"")</f>
        <v/>
      </c>
    </row>
    <row r="708" spans="10:11" x14ac:dyDescent="0.25">
      <c r="J708" t="s">
        <v>161</v>
      </c>
      <c r="K708" t="str">
        <f>IF(H35&gt;0,REPLACE(J708,8,9,H35),"")</f>
        <v/>
      </c>
    </row>
    <row r="709" spans="10:11" x14ac:dyDescent="0.25">
      <c r="J709" t="s">
        <v>162</v>
      </c>
      <c r="K709" t="str">
        <f>IF(H36&gt;0,REPLACE(J709,8,9,H36),"")</f>
        <v/>
      </c>
    </row>
    <row r="710" spans="10:11" x14ac:dyDescent="0.25">
      <c r="J710" t="s">
        <v>163</v>
      </c>
      <c r="K710" t="str">
        <f>IF(H37&gt;0,REPLACE(J710,8,9,H37),"")</f>
        <v/>
      </c>
    </row>
    <row r="711" spans="10:11" x14ac:dyDescent="0.25">
      <c r="J711" t="s">
        <v>164</v>
      </c>
      <c r="K711" t="str">
        <f>IF(H38&gt;0,REPLACE(J711,8,9,H38),"")</f>
        <v/>
      </c>
    </row>
    <row r="712" spans="10:11" x14ac:dyDescent="0.25">
      <c r="J712" t="s">
        <v>165</v>
      </c>
      <c r="K712" t="str">
        <f>IF(H39&gt;0,REPLACE(J712,8,9,H39),"")</f>
        <v/>
      </c>
    </row>
    <row r="713" spans="10:11" x14ac:dyDescent="0.25">
      <c r="J713" t="s">
        <v>166</v>
      </c>
      <c r="K713" t="str">
        <f>IF(H40&gt;0,REPLACE(J713,8,9,H40),"")</f>
        <v/>
      </c>
    </row>
    <row r="714" spans="10:11" x14ac:dyDescent="0.25">
      <c r="J714" t="s">
        <v>167</v>
      </c>
      <c r="K714" t="str">
        <f>IF(H41&gt;0,REPLACE(J714,8,9,H41),"")</f>
        <v/>
      </c>
    </row>
    <row r="715" spans="10:11" x14ac:dyDescent="0.25">
      <c r="J715" t="s">
        <v>168</v>
      </c>
      <c r="K715" t="str">
        <f>IF(H42&gt;0,REPLACE(J715,8,9,H42),"")</f>
        <v/>
      </c>
    </row>
    <row r="716" spans="10:11" x14ac:dyDescent="0.25">
      <c r="J716" t="s">
        <v>169</v>
      </c>
      <c r="K716" t="str">
        <f>IF(H43&gt;0,REPLACE(J716,8,9,H43),"")</f>
        <v/>
      </c>
    </row>
    <row r="718" spans="10:11" x14ac:dyDescent="0.25">
      <c r="J718" t="s">
        <v>69</v>
      </c>
      <c r="K718" t="s">
        <v>69</v>
      </c>
    </row>
    <row r="720" spans="10:11" x14ac:dyDescent="0.25">
      <c r="J720" t="s">
        <v>70</v>
      </c>
      <c r="K720" t="s">
        <v>70</v>
      </c>
    </row>
    <row r="722" spans="10:11" x14ac:dyDescent="0.25">
      <c r="J722" t="s">
        <v>71</v>
      </c>
      <c r="K722" t="str">
        <f>REPLACE(J722,FIND("ABC",J722,1),3,I2)</f>
        <v>&lt;strong&gt;13. ABC Market: Research Methodology&lt;/strong&gt;</v>
      </c>
    </row>
    <row r="724" spans="10:11" x14ac:dyDescent="0.25">
      <c r="J724" t="s">
        <v>72</v>
      </c>
      <c r="K724" t="s">
        <v>72</v>
      </c>
    </row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6" customFormat="1" x14ac:dyDescent="0.25"/>
    <row r="938" customFormat="1" x14ac:dyDescent="0.25"/>
    <row r="940" customFormat="1" x14ac:dyDescent="0.25"/>
    <row r="942" customFormat="1" x14ac:dyDescent="0.25"/>
  </sheetData>
  <conditionalFormatting sqref="J113:J118">
    <cfRule type="uniqueValues" dxfId="2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42"/>
  <sheetViews>
    <sheetView workbookViewId="0">
      <selection activeCell="I4" sqref="I4"/>
    </sheetView>
  </sheetViews>
  <sheetFormatPr defaultRowHeight="15" x14ac:dyDescent="0.25"/>
  <cols>
    <col min="1" max="1" width="11.140625" customWidth="1"/>
    <col min="2" max="2" width="17.7109375" customWidth="1"/>
    <col min="3" max="3" width="15.140625" customWidth="1"/>
    <col min="4" max="4" width="16.7109375" customWidth="1"/>
    <col min="5" max="5" width="12.85546875" customWidth="1"/>
    <col min="6" max="7" width="17.28515625" customWidth="1"/>
    <col min="8" max="8" width="14.140625" customWidth="1"/>
    <col min="9" max="9" width="15.5703125" customWidth="1"/>
  </cols>
  <sheetData>
    <row r="1" spans="1:11" x14ac:dyDescent="0.2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/>
      <c r="H1" s="1" t="s">
        <v>79</v>
      </c>
      <c r="I1" s="1" t="s">
        <v>122</v>
      </c>
    </row>
    <row r="2" spans="1:11" x14ac:dyDescent="0.25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85</v>
      </c>
      <c r="I2" s="2" t="s">
        <v>159</v>
      </c>
      <c r="J2" t="s">
        <v>0</v>
      </c>
      <c r="K2" t="str">
        <f>REPLACE(J2,FIND("ABC",J2,1),3,I2)</f>
        <v>&lt;strong&gt;1. ABC Market Introduction&lt;/strong&gt;</v>
      </c>
    </row>
    <row r="3" spans="1:11" x14ac:dyDescent="0.25">
      <c r="A3" s="3"/>
      <c r="B3" s="3"/>
      <c r="C3" s="3"/>
      <c r="D3" s="3"/>
      <c r="E3" s="3"/>
      <c r="F3" s="3"/>
      <c r="J3" t="s">
        <v>1</v>
      </c>
      <c r="K3" t="s">
        <v>1</v>
      </c>
    </row>
    <row r="4" spans="1:11" x14ac:dyDescent="0.25">
      <c r="A4" s="2"/>
      <c r="B4" s="2"/>
      <c r="C4" s="2"/>
      <c r="D4" s="2"/>
      <c r="E4" s="2"/>
      <c r="F4" s="2"/>
      <c r="H4" s="2" t="s">
        <v>86</v>
      </c>
      <c r="J4" t="s">
        <v>2</v>
      </c>
      <c r="K4" t="s">
        <v>2</v>
      </c>
    </row>
    <row r="5" spans="1:11" x14ac:dyDescent="0.25">
      <c r="A5" s="2"/>
      <c r="B5" s="2"/>
      <c r="C5" s="2"/>
      <c r="D5" s="2"/>
      <c r="E5" s="2"/>
      <c r="F5" s="2"/>
      <c r="H5" s="2"/>
      <c r="J5" t="s">
        <v>3</v>
      </c>
      <c r="K5" t="s">
        <v>3</v>
      </c>
    </row>
    <row r="6" spans="1:11" x14ac:dyDescent="0.25">
      <c r="A6" s="2"/>
      <c r="B6" s="2"/>
      <c r="C6" s="2"/>
      <c r="D6" s="2"/>
      <c r="E6" s="2"/>
      <c r="F6" s="2"/>
      <c r="H6" s="2"/>
    </row>
    <row r="7" spans="1:11" x14ac:dyDescent="0.25">
      <c r="A7" s="2"/>
      <c r="B7" s="2"/>
      <c r="C7" s="2"/>
      <c r="D7" s="2"/>
      <c r="E7" s="2"/>
      <c r="F7" s="2"/>
      <c r="H7" s="2"/>
      <c r="J7" t="s">
        <v>189</v>
      </c>
      <c r="K7" t="str">
        <f>REPLACE(J7,FIND("ABC",J7,1),3,$I$2)</f>
        <v>&lt;strong&gt;2. Global ABC Market: Competitive Landscape&lt;/strong&gt;</v>
      </c>
    </row>
    <row r="8" spans="1:11" x14ac:dyDescent="0.25">
      <c r="A8" s="2"/>
      <c r="B8" s="2"/>
      <c r="C8" s="2"/>
      <c r="D8" s="2"/>
      <c r="E8" s="2"/>
      <c r="F8" s="2"/>
      <c r="H8" s="2"/>
      <c r="J8" t="s">
        <v>187</v>
      </c>
      <c r="K8" t="str">
        <f t="shared" ref="K8:K15" si="0">J8</f>
        <v>2.1. MMR Competition Matrix</v>
      </c>
    </row>
    <row r="9" spans="1:11" x14ac:dyDescent="0.25">
      <c r="A9" s="2"/>
      <c r="B9" s="2"/>
      <c r="C9" s="2"/>
      <c r="D9" s="2"/>
      <c r="E9" s="2"/>
      <c r="F9" s="2"/>
      <c r="H9" s="2"/>
      <c r="J9" t="s">
        <v>188</v>
      </c>
      <c r="K9" t="str">
        <f t="shared" si="0"/>
        <v>2.2. Competitive Landscape</v>
      </c>
    </row>
    <row r="10" spans="1:11" x14ac:dyDescent="0.25">
      <c r="A10" s="2"/>
      <c r="B10" s="2"/>
      <c r="C10" s="2"/>
      <c r="D10" s="2"/>
      <c r="E10" s="2"/>
      <c r="F10" s="2"/>
      <c r="H10" s="2"/>
      <c r="J10" t="s">
        <v>383</v>
      </c>
      <c r="K10" t="str">
        <f t="shared" si="0"/>
        <v>2.3. Key Players Benchmarking</v>
      </c>
    </row>
    <row r="11" spans="1:11" x14ac:dyDescent="0.25">
      <c r="A11" s="2"/>
      <c r="B11" s="2"/>
      <c r="C11" s="2"/>
      <c r="D11" s="2"/>
      <c r="E11" s="2"/>
      <c r="F11" s="2"/>
      <c r="H11" s="2"/>
      <c r="J11" t="s">
        <v>384</v>
      </c>
      <c r="K11" t="str">
        <f t="shared" si="0"/>
        <v>&lt;em&gt;2.3.1. Company Name&lt;/em&gt;</v>
      </c>
    </row>
    <row r="12" spans="1:11" x14ac:dyDescent="0.25">
      <c r="A12" s="2"/>
      <c r="B12" s="2"/>
      <c r="C12" s="2"/>
      <c r="D12" s="2"/>
      <c r="E12" s="2"/>
      <c r="F12" s="2"/>
      <c r="H12" s="2"/>
      <c r="J12" t="s">
        <v>385</v>
      </c>
      <c r="K12" t="str">
        <f t="shared" si="0"/>
        <v>&lt;em&gt;2.3.2. Business Segment&lt;/em&gt;</v>
      </c>
    </row>
    <row r="13" spans="1:11" x14ac:dyDescent="0.25">
      <c r="A13" s="2"/>
      <c r="B13" s="2"/>
      <c r="C13" s="2"/>
      <c r="D13" s="2"/>
      <c r="E13" s="2"/>
      <c r="F13" s="2"/>
      <c r="H13" s="2"/>
      <c r="J13" t="s">
        <v>386</v>
      </c>
      <c r="K13" t="str">
        <f t="shared" si="0"/>
        <v>&lt;em&gt;2.3.3. End-user Segment&lt;/em&gt;</v>
      </c>
    </row>
    <row r="14" spans="1:11" x14ac:dyDescent="0.25">
      <c r="A14" s="2"/>
      <c r="B14" s="2"/>
      <c r="C14" s="2"/>
      <c r="D14" s="2"/>
      <c r="E14" s="2"/>
      <c r="F14" s="2"/>
      <c r="H14" s="2"/>
      <c r="J14" t="s">
        <v>817</v>
      </c>
      <c r="K14" t="str">
        <f t="shared" si="0"/>
        <v>&lt;em&gt;2.3.4. Revenue (2024)&lt;/em&gt;</v>
      </c>
    </row>
    <row r="15" spans="1:11" x14ac:dyDescent="0.25">
      <c r="A15" s="2"/>
      <c r="B15" s="2"/>
      <c r="C15" s="2"/>
      <c r="D15" s="2"/>
      <c r="E15" s="2"/>
      <c r="F15" s="2"/>
      <c r="H15" s="2"/>
      <c r="J15" t="s">
        <v>387</v>
      </c>
      <c r="K15" t="str">
        <f t="shared" si="0"/>
        <v>&lt;em&gt;2.3.5. Company Locations&lt;/em&gt;</v>
      </c>
    </row>
    <row r="16" spans="1:11" x14ac:dyDescent="0.25">
      <c r="A16" s="2"/>
      <c r="B16" s="2"/>
      <c r="C16" s="2"/>
      <c r="D16" s="2"/>
      <c r="E16" s="2"/>
      <c r="F16" s="2"/>
      <c r="H16" s="2"/>
      <c r="J16" t="s">
        <v>388</v>
      </c>
      <c r="K16" t="str">
        <f>REPLACE(J16,FIND("ABC",J16,1),3,$I$2)</f>
        <v>2.4. Leading ABC Market Companies, by market capitalization</v>
      </c>
    </row>
    <row r="17" spans="1:11" x14ac:dyDescent="0.25">
      <c r="A17" s="2"/>
      <c r="B17" s="2"/>
      <c r="C17" s="2"/>
      <c r="D17" s="2"/>
      <c r="E17" s="2"/>
      <c r="F17" s="2"/>
      <c r="H17" s="2"/>
      <c r="J17" t="s">
        <v>389</v>
      </c>
      <c r="K17" t="str">
        <f>J17</f>
        <v>2.5. Market Structure</v>
      </c>
    </row>
    <row r="18" spans="1:11" x14ac:dyDescent="0.25">
      <c r="A18" s="2"/>
      <c r="B18" s="2"/>
      <c r="C18" s="2"/>
      <c r="D18" s="2"/>
      <c r="E18" s="2"/>
      <c r="F18" s="2"/>
      <c r="H18" s="2"/>
      <c r="J18" t="s">
        <v>390</v>
      </c>
      <c r="K18" t="str">
        <f>J18</f>
        <v>&lt;em&gt;2.5.1. Market Leaders&lt;/em&gt;</v>
      </c>
    </row>
    <row r="19" spans="1:11" x14ac:dyDescent="0.25">
      <c r="H19" s="2"/>
      <c r="J19" t="s">
        <v>391</v>
      </c>
      <c r="K19" t="str">
        <f>J19</f>
        <v>&lt;em&gt;2.5.2. Market Followers&lt;/em&gt;</v>
      </c>
    </row>
    <row r="20" spans="1:11" x14ac:dyDescent="0.25">
      <c r="H20" s="2"/>
      <c r="J20" t="s">
        <v>392</v>
      </c>
      <c r="K20" t="str">
        <f>J20</f>
        <v>&lt;em&gt;2.5.3. Emerging Players&lt;/em&gt;</v>
      </c>
    </row>
    <row r="21" spans="1:11" x14ac:dyDescent="0.25">
      <c r="H21" s="2"/>
      <c r="J21" t="s">
        <v>393</v>
      </c>
      <c r="K21" t="str">
        <f>J21</f>
        <v>2.6. Mergers and Acquisitions Details</v>
      </c>
    </row>
    <row r="22" spans="1:11" x14ac:dyDescent="0.25">
      <c r="H22" s="2"/>
    </row>
    <row r="23" spans="1:11" x14ac:dyDescent="0.25">
      <c r="H23" s="2"/>
      <c r="J23" t="s">
        <v>190</v>
      </c>
      <c r="K23" t="str">
        <f>REPLACE(J23,FIND("ABC",J23,1),3,$I$2)</f>
        <v>&lt;strong&gt;3. ABC Market: Dynamics&lt;/strong&gt;</v>
      </c>
    </row>
    <row r="24" spans="1:11" x14ac:dyDescent="0.25">
      <c r="H24" s="2"/>
      <c r="J24" t="s">
        <v>191</v>
      </c>
      <c r="K24" t="str">
        <f>REPLACE(J24,FIND("ABC",J24,1),3,$I$2)</f>
        <v>3.1. ABC Market Trends by Region</v>
      </c>
    </row>
    <row r="25" spans="1:11" x14ac:dyDescent="0.25">
      <c r="H25" s="2"/>
      <c r="J25" t="s">
        <v>192</v>
      </c>
      <c r="K25" t="str">
        <f>REPLACE(J25,FIND("ABC",J25,1),3,$I$2)</f>
        <v>&lt;em&gt;3.1.1. North America ABC Market Trends&lt;/em&gt;</v>
      </c>
    </row>
    <row r="26" spans="1:11" x14ac:dyDescent="0.25">
      <c r="H26" s="2"/>
      <c r="J26" t="s">
        <v>193</v>
      </c>
      <c r="K26" t="str">
        <f t="shared" ref="K26:K30" si="1">REPLACE(J26,FIND("ABC",J26,1),3,$I$2)</f>
        <v>&lt;em&gt;3.1.2. Europe ABC Market Trends&lt;/em&gt;</v>
      </c>
    </row>
    <row r="27" spans="1:11" x14ac:dyDescent="0.25">
      <c r="H27" s="2"/>
      <c r="J27" t="s">
        <v>194</v>
      </c>
      <c r="K27" t="str">
        <f t="shared" si="1"/>
        <v>&lt;em&gt;3.1.3. Asia Pacific ABC Market Trends&lt;/em&gt;</v>
      </c>
    </row>
    <row r="28" spans="1:11" x14ac:dyDescent="0.25">
      <c r="H28" s="2"/>
      <c r="J28" t="s">
        <v>195</v>
      </c>
      <c r="K28" t="str">
        <f t="shared" si="1"/>
        <v>&lt;em&gt;3.1.4. Middle East and Africa ABC Market Trends&lt;/em&gt;</v>
      </c>
    </row>
    <row r="29" spans="1:11" x14ac:dyDescent="0.25">
      <c r="H29" s="2"/>
      <c r="J29" t="s">
        <v>196</v>
      </c>
      <c r="K29" t="str">
        <f t="shared" si="1"/>
        <v>&lt;em&gt;3.1.5. South America ABC Market Trends&lt;/em&gt;</v>
      </c>
    </row>
    <row r="30" spans="1:11" x14ac:dyDescent="0.25">
      <c r="H30" s="2"/>
      <c r="J30" t="s">
        <v>197</v>
      </c>
      <c r="K30" t="str">
        <f t="shared" si="1"/>
        <v>3.2. ABC Market Dynamics by Region</v>
      </c>
    </row>
    <row r="31" spans="1:11" x14ac:dyDescent="0.25">
      <c r="H31" s="2"/>
      <c r="J31" t="s">
        <v>198</v>
      </c>
      <c r="K31" t="str">
        <f>J31</f>
        <v>&lt;em&gt;3.2.1. North America&lt;/em&gt;</v>
      </c>
    </row>
    <row r="32" spans="1:11" x14ac:dyDescent="0.25">
      <c r="H32" s="2"/>
      <c r="J32" t="s">
        <v>199</v>
      </c>
      <c r="K32" t="str">
        <f>REPLACE(J32,FIND("ABC",J32,1),3,$I$2)</f>
        <v>&lt;em&gt;3.2.1.1. North America ABC Market Drivers&lt;/em&gt;</v>
      </c>
    </row>
    <row r="33" spans="8:11" x14ac:dyDescent="0.25">
      <c r="H33" s="2"/>
      <c r="J33" t="s">
        <v>200</v>
      </c>
      <c r="K33" t="str">
        <f t="shared" ref="K33:K35" si="2">REPLACE(J33,FIND("ABC",J33,1),3,$I$2)</f>
        <v>&lt;em&gt;3.2.1.2. North America ABC Market Restraints&lt;/em&gt;</v>
      </c>
    </row>
    <row r="34" spans="8:11" x14ac:dyDescent="0.25">
      <c r="H34" s="2"/>
      <c r="J34" t="s">
        <v>201</v>
      </c>
      <c r="K34" t="str">
        <f t="shared" si="2"/>
        <v>&lt;em&gt;3.2.1.3. North America ABC Market Opportunities&lt;/em&gt;</v>
      </c>
    </row>
    <row r="35" spans="8:11" x14ac:dyDescent="0.25">
      <c r="H35" s="2"/>
      <c r="J35" t="s">
        <v>202</v>
      </c>
      <c r="K35" t="str">
        <f t="shared" si="2"/>
        <v>&lt;em&gt;3.2.1.4. North America ABC Market Challenges&lt;/em&gt;</v>
      </c>
    </row>
    <row r="36" spans="8:11" x14ac:dyDescent="0.25">
      <c r="H36" s="2"/>
      <c r="J36" t="s">
        <v>203</v>
      </c>
      <c r="K36" t="str">
        <f>J36</f>
        <v>&lt;em&gt;3.2.2. Europe&lt;/em&gt;</v>
      </c>
    </row>
    <row r="37" spans="8:11" x14ac:dyDescent="0.25">
      <c r="H37" s="2"/>
      <c r="J37" t="s">
        <v>204</v>
      </c>
      <c r="K37" t="str">
        <f>REPLACE(J37,FIND("ABC",J37,1),3,$I$2)</f>
        <v>&lt;em&gt;3.2.2.1. Europe ABC Market Drivers&lt;/em&gt;</v>
      </c>
    </row>
    <row r="38" spans="8:11" x14ac:dyDescent="0.25">
      <c r="H38" s="2"/>
      <c r="J38" t="s">
        <v>205</v>
      </c>
      <c r="K38" t="str">
        <f t="shared" ref="K38:K55" si="3">REPLACE(J38,FIND("ABC",J38,1),3,$I$2)</f>
        <v>&lt;em&gt;3.2.2.2. Europe ABC Market Restraints&lt;/em&gt;</v>
      </c>
    </row>
    <row r="39" spans="8:11" x14ac:dyDescent="0.25">
      <c r="H39" s="2"/>
      <c r="J39" t="s">
        <v>206</v>
      </c>
      <c r="K39" t="str">
        <f t="shared" si="3"/>
        <v>&lt;em&gt;3.2.2.3. Europe ABC Market Opportunities&lt;/em&gt;</v>
      </c>
    </row>
    <row r="40" spans="8:11" x14ac:dyDescent="0.25">
      <c r="H40" s="2"/>
      <c r="J40" t="s">
        <v>207</v>
      </c>
      <c r="K40" t="str">
        <f t="shared" si="3"/>
        <v>&lt;em&gt;3.2.2.4. Europe ABC Market Challenges&lt;/em&gt;</v>
      </c>
    </row>
    <row r="41" spans="8:11" x14ac:dyDescent="0.25">
      <c r="H41" s="2"/>
      <c r="J41" t="s">
        <v>208</v>
      </c>
      <c r="K41" t="str">
        <f>J41</f>
        <v>&lt;em&gt;3.2.3. Asia Pacific&lt;/em&gt;</v>
      </c>
    </row>
    <row r="42" spans="8:11" x14ac:dyDescent="0.25">
      <c r="H42" s="2"/>
      <c r="J42" t="s">
        <v>209</v>
      </c>
      <c r="K42" t="str">
        <f t="shared" si="3"/>
        <v>&lt;em&gt;3.2.3.1. Asia Pacific ABC Market Drivers&lt;/em&gt;</v>
      </c>
    </row>
    <row r="43" spans="8:11" x14ac:dyDescent="0.25">
      <c r="H43" s="2"/>
      <c r="J43" t="s">
        <v>210</v>
      </c>
      <c r="K43" t="str">
        <f t="shared" si="3"/>
        <v>&lt;em&gt;3.2.3.2. Asia Pacific ABC Market Restraints&lt;/em&gt;</v>
      </c>
    </row>
    <row r="44" spans="8:11" x14ac:dyDescent="0.25">
      <c r="J44" t="s">
        <v>211</v>
      </c>
      <c r="K44" t="str">
        <f t="shared" si="3"/>
        <v>&lt;em&gt;3.2.3.3. Asia Pacific ABC Market Opportunities&lt;/em&gt;</v>
      </c>
    </row>
    <row r="45" spans="8:11" x14ac:dyDescent="0.25">
      <c r="J45" t="s">
        <v>212</v>
      </c>
      <c r="K45" t="str">
        <f t="shared" si="3"/>
        <v>&lt;em&gt;3.2.3.4. Asia Pacific ABC Market Challenges&lt;/em&gt;</v>
      </c>
    </row>
    <row r="46" spans="8:11" x14ac:dyDescent="0.25">
      <c r="J46" t="s">
        <v>213</v>
      </c>
      <c r="K46" t="str">
        <f>J46</f>
        <v>&lt;em&gt;3.2.4. Middle East and Africa&lt;/em&gt;</v>
      </c>
    </row>
    <row r="47" spans="8:11" x14ac:dyDescent="0.25">
      <c r="J47" t="s">
        <v>214</v>
      </c>
      <c r="K47" t="str">
        <f t="shared" si="3"/>
        <v>&lt;em&gt;3.2.4.1. Middle East and Africa ABC Market Drivers&lt;/em&gt;</v>
      </c>
    </row>
    <row r="48" spans="8:11" x14ac:dyDescent="0.25">
      <c r="J48" t="s">
        <v>215</v>
      </c>
      <c r="K48" t="str">
        <f t="shared" si="3"/>
        <v>&lt;em&gt;3.2.4.2. Middle East and Africa ABC Market Restraints&lt;/em&gt;</v>
      </c>
    </row>
    <row r="49" spans="10:11" x14ac:dyDescent="0.25">
      <c r="J49" t="s">
        <v>216</v>
      </c>
      <c r="K49" t="str">
        <f t="shared" si="3"/>
        <v>&lt;em&gt;3.2.4.3. Middle East and Africa ABC Market Opportunities&lt;/em&gt;</v>
      </c>
    </row>
    <row r="50" spans="10:11" x14ac:dyDescent="0.25">
      <c r="J50" t="s">
        <v>217</v>
      </c>
      <c r="K50" t="str">
        <f t="shared" si="3"/>
        <v>&lt;em&gt;3.2.4.4. Middle East and Africa ABC Market Challenges&lt;/em&gt;</v>
      </c>
    </row>
    <row r="51" spans="10:11" x14ac:dyDescent="0.25">
      <c r="J51" t="s">
        <v>218</v>
      </c>
      <c r="K51" t="str">
        <f>J51</f>
        <v>&lt;em&gt;3.2.5. South America&lt;/em&gt;</v>
      </c>
    </row>
    <row r="52" spans="10:11" x14ac:dyDescent="0.25">
      <c r="J52" t="s">
        <v>219</v>
      </c>
      <c r="K52" t="str">
        <f t="shared" si="3"/>
        <v>&lt;em&gt;3.2.5.1. South America ABC Market Drivers&lt;/em&gt;</v>
      </c>
    </row>
    <row r="53" spans="10:11" x14ac:dyDescent="0.25">
      <c r="J53" t="s">
        <v>220</v>
      </c>
      <c r="K53" t="str">
        <f t="shared" si="3"/>
        <v>&lt;em&gt;3.2.5.2. South America ABC Market Restraints&lt;/em&gt;</v>
      </c>
    </row>
    <row r="54" spans="10:11" x14ac:dyDescent="0.25">
      <c r="J54" t="s">
        <v>221</v>
      </c>
      <c r="K54" t="str">
        <f t="shared" si="3"/>
        <v>&lt;em&gt;3.2.5.3. South America ABC Market Opportunities&lt;/em&gt;</v>
      </c>
    </row>
    <row r="55" spans="10:11" x14ac:dyDescent="0.25">
      <c r="J55" t="s">
        <v>222</v>
      </c>
      <c r="K55" t="str">
        <f t="shared" si="3"/>
        <v>&lt;em&gt;3.2.5.4. South America ABC Market Challenges&lt;/em&gt;</v>
      </c>
    </row>
    <row r="56" spans="10:11" x14ac:dyDescent="0.25">
      <c r="J56" t="s">
        <v>223</v>
      </c>
      <c r="K56" t="str">
        <f t="shared" ref="K56:K64" si="4">J56</f>
        <v>3.3. PORTER’s Five Forces Analysis</v>
      </c>
    </row>
    <row r="57" spans="10:11" x14ac:dyDescent="0.25">
      <c r="J57" t="s">
        <v>224</v>
      </c>
      <c r="K57" t="str">
        <f t="shared" si="4"/>
        <v>3.4. PESTLE Analysis</v>
      </c>
    </row>
    <row r="58" spans="10:11" x14ac:dyDescent="0.25">
      <c r="J58" t="s">
        <v>225</v>
      </c>
      <c r="K58" t="str">
        <f t="shared" si="4"/>
        <v>3.5. Technology Roadmap</v>
      </c>
    </row>
    <row r="59" spans="10:11" x14ac:dyDescent="0.25">
      <c r="J59" t="s">
        <v>226</v>
      </c>
      <c r="K59" t="str">
        <f t="shared" si="4"/>
        <v>3.6. Regulatory Landscape by Region</v>
      </c>
    </row>
    <row r="60" spans="10:11" x14ac:dyDescent="0.25">
      <c r="J60" t="s">
        <v>117</v>
      </c>
      <c r="K60" t="str">
        <f t="shared" si="4"/>
        <v>&lt;em&gt;3.6.1. North America&lt;/em&gt;</v>
      </c>
    </row>
    <row r="61" spans="10:11" x14ac:dyDescent="0.25">
      <c r="J61" t="s">
        <v>118</v>
      </c>
      <c r="K61" t="str">
        <f t="shared" si="4"/>
        <v>&lt;em&gt;3.6.2. Europe&lt;/em&gt;</v>
      </c>
    </row>
    <row r="62" spans="10:11" x14ac:dyDescent="0.25">
      <c r="J62" t="s">
        <v>119</v>
      </c>
      <c r="K62" t="str">
        <f t="shared" si="4"/>
        <v>&lt;em&gt;3.6.3. Asia Pacific&lt;/em&gt;</v>
      </c>
    </row>
    <row r="63" spans="10:11" x14ac:dyDescent="0.25">
      <c r="J63" t="s">
        <v>120</v>
      </c>
      <c r="K63" t="str">
        <f t="shared" si="4"/>
        <v>&lt;em&gt;3.6.4. Middle East and Africa&lt;/em&gt;</v>
      </c>
    </row>
    <row r="64" spans="10:11" x14ac:dyDescent="0.25">
      <c r="J64" t="s">
        <v>121</v>
      </c>
      <c r="K64" t="str">
        <f t="shared" si="4"/>
        <v>&lt;em&gt;3.6.5. South America&lt;/em&gt;</v>
      </c>
    </row>
    <row r="65" spans="10:11" x14ac:dyDescent="0.25">
      <c r="J65" t="s">
        <v>227</v>
      </c>
      <c r="K65" t="str">
        <f>REPLACE(J65,FIND("ABC",J65,1),3,$I$2)</f>
        <v>3.7. Key Opinion Leader Analysis For ABC Industry</v>
      </c>
    </row>
    <row r="66" spans="10:11" x14ac:dyDescent="0.25">
      <c r="J66" t="s">
        <v>228</v>
      </c>
      <c r="K66" t="str">
        <f>REPLACE(J66,FIND("ABC",J66,1),3,$I$2)</f>
        <v>3.8. Analysis of Government Schemes and Initiatives For ABC Industry</v>
      </c>
    </row>
    <row r="67" spans="10:11" x14ac:dyDescent="0.25">
      <c r="J67" t="s">
        <v>229</v>
      </c>
      <c r="K67" t="str">
        <f>REPLACE(J67,FIND("ABC",J67,1),3,$I$2)</f>
        <v>3.9. ABC Market Trade Analysis</v>
      </c>
    </row>
    <row r="68" spans="10:11" x14ac:dyDescent="0.25">
      <c r="J68" t="s">
        <v>230</v>
      </c>
      <c r="K68" t="str">
        <f>REPLACE(J68,FIND("ABC",J68,1),3,$I$2)</f>
        <v>3.10. The Global Pandemic Impact on ABC Market</v>
      </c>
    </row>
    <row r="70" spans="10:11" x14ac:dyDescent="0.25">
      <c r="J70" t="s">
        <v>818</v>
      </c>
      <c r="K70" t="str">
        <f>REPLACE(J70,FIND("ABC",J70,1),3,$I$2)</f>
        <v>&lt;strong&gt;4. ABC Market: Global Market Size and Forecast by Segmentation by Demand and Supply Side (by Value in USD Million) 2024-2032&lt;/strong&gt;</v>
      </c>
    </row>
    <row r="71" spans="10:11" x14ac:dyDescent="0.25">
      <c r="J71" t="s">
        <v>819</v>
      </c>
      <c r="K71" t="str">
        <f>REPLACE(IF(A2&gt;0,REPLACE(J71,39,8,A2),""),6,3,I2)</f>
        <v>4.1. ABC Market Size and Forecast, by AA (2024-2032)</v>
      </c>
    </row>
    <row r="72" spans="10:11" x14ac:dyDescent="0.25">
      <c r="J72" t="s">
        <v>4</v>
      </c>
      <c r="K72" t="str">
        <f t="shared" ref="K72:K80" si="5">IF(A4&gt;0,REPLACE(J72,12,3,A4),"")</f>
        <v/>
      </c>
    </row>
    <row r="73" spans="10:11" x14ac:dyDescent="0.25">
      <c r="J73" t="s">
        <v>5</v>
      </c>
      <c r="K73" t="str">
        <f t="shared" si="5"/>
        <v/>
      </c>
    </row>
    <row r="74" spans="10:11" x14ac:dyDescent="0.25">
      <c r="J74" t="s">
        <v>6</v>
      </c>
      <c r="K74" t="str">
        <f t="shared" si="5"/>
        <v/>
      </c>
    </row>
    <row r="75" spans="10:11" x14ac:dyDescent="0.25">
      <c r="J75" t="s">
        <v>7</v>
      </c>
      <c r="K75" t="str">
        <f t="shared" si="5"/>
        <v/>
      </c>
    </row>
    <row r="76" spans="10:11" x14ac:dyDescent="0.25">
      <c r="J76" t="s">
        <v>8</v>
      </c>
      <c r="K76" t="str">
        <f t="shared" si="5"/>
        <v/>
      </c>
    </row>
    <row r="77" spans="10:11" x14ac:dyDescent="0.25">
      <c r="J77" t="s">
        <v>9</v>
      </c>
      <c r="K77" t="str">
        <f t="shared" si="5"/>
        <v/>
      </c>
    </row>
    <row r="78" spans="10:11" x14ac:dyDescent="0.25">
      <c r="J78" t="s">
        <v>10</v>
      </c>
      <c r="K78" t="str">
        <f t="shared" si="5"/>
        <v/>
      </c>
    </row>
    <row r="79" spans="10:11" x14ac:dyDescent="0.25">
      <c r="J79" t="s">
        <v>11</v>
      </c>
      <c r="K79" t="str">
        <f t="shared" si="5"/>
        <v/>
      </c>
    </row>
    <row r="80" spans="10:11" x14ac:dyDescent="0.25">
      <c r="J80" t="s">
        <v>12</v>
      </c>
      <c r="K80" t="str">
        <f t="shared" si="5"/>
        <v/>
      </c>
    </row>
    <row r="81" spans="10:11" x14ac:dyDescent="0.25">
      <c r="J81" t="s">
        <v>123</v>
      </c>
      <c r="K81" t="str">
        <f t="shared" ref="K81:K86" si="6">IF(A13&gt;0,REPLACE(J81,13,4,A13),"")</f>
        <v/>
      </c>
    </row>
    <row r="82" spans="10:11" x14ac:dyDescent="0.25">
      <c r="J82" t="s">
        <v>124</v>
      </c>
      <c r="K82" t="str">
        <f t="shared" si="6"/>
        <v/>
      </c>
    </row>
    <row r="83" spans="10:11" x14ac:dyDescent="0.25">
      <c r="J83" t="s">
        <v>125</v>
      </c>
      <c r="K83" t="str">
        <f t="shared" si="6"/>
        <v/>
      </c>
    </row>
    <row r="84" spans="10:11" x14ac:dyDescent="0.25">
      <c r="J84" t="s">
        <v>126</v>
      </c>
      <c r="K84" t="str">
        <f t="shared" si="6"/>
        <v/>
      </c>
    </row>
    <row r="85" spans="10:11" x14ac:dyDescent="0.25">
      <c r="J85" t="s">
        <v>127</v>
      </c>
      <c r="K85" t="str">
        <f t="shared" si="6"/>
        <v/>
      </c>
    </row>
    <row r="86" spans="10:11" x14ac:dyDescent="0.25">
      <c r="J86" t="s">
        <v>128</v>
      </c>
      <c r="K86" t="str">
        <f t="shared" si="6"/>
        <v/>
      </c>
    </row>
    <row r="87" spans="10:11" x14ac:dyDescent="0.25">
      <c r="J87" t="s">
        <v>820</v>
      </c>
      <c r="K87" t="str">
        <f>REPLACE(IF(B2&gt;0,REPLACE(J87,39,8,B2),""),6,3,I2)</f>
        <v>4.2. ABC Market Size and Forecast, by BB (2024-2032)</v>
      </c>
    </row>
    <row r="88" spans="10:11" x14ac:dyDescent="0.25">
      <c r="J88" t="s">
        <v>13</v>
      </c>
      <c r="K88" t="str">
        <f t="shared" ref="K88:K96" si="7">IF(B4&gt;0,REPLACE(J88,12,3,B4),"")</f>
        <v/>
      </c>
    </row>
    <row r="89" spans="10:11" x14ac:dyDescent="0.25">
      <c r="J89" t="s">
        <v>14</v>
      </c>
      <c r="K89" t="str">
        <f t="shared" si="7"/>
        <v/>
      </c>
    </row>
    <row r="90" spans="10:11" x14ac:dyDescent="0.25">
      <c r="J90" t="s">
        <v>15</v>
      </c>
      <c r="K90" t="str">
        <f t="shared" si="7"/>
        <v/>
      </c>
    </row>
    <row r="91" spans="10:11" x14ac:dyDescent="0.25">
      <c r="J91" t="s">
        <v>16</v>
      </c>
      <c r="K91" t="str">
        <f t="shared" si="7"/>
        <v/>
      </c>
    </row>
    <row r="92" spans="10:11" x14ac:dyDescent="0.25">
      <c r="J92" t="s">
        <v>17</v>
      </c>
      <c r="K92" t="str">
        <f t="shared" si="7"/>
        <v/>
      </c>
    </row>
    <row r="93" spans="10:11" x14ac:dyDescent="0.25">
      <c r="J93" t="s">
        <v>18</v>
      </c>
      <c r="K93" t="str">
        <f t="shared" si="7"/>
        <v/>
      </c>
    </row>
    <row r="94" spans="10:11" x14ac:dyDescent="0.25">
      <c r="J94" t="s">
        <v>19</v>
      </c>
      <c r="K94" t="str">
        <f t="shared" si="7"/>
        <v/>
      </c>
    </row>
    <row r="95" spans="10:11" x14ac:dyDescent="0.25">
      <c r="J95" t="s">
        <v>20</v>
      </c>
      <c r="K95" t="str">
        <f t="shared" si="7"/>
        <v/>
      </c>
    </row>
    <row r="96" spans="10:11" x14ac:dyDescent="0.25">
      <c r="J96" t="s">
        <v>21</v>
      </c>
      <c r="K96" t="str">
        <f t="shared" si="7"/>
        <v/>
      </c>
    </row>
    <row r="97" spans="10:11" x14ac:dyDescent="0.25">
      <c r="J97" t="s">
        <v>129</v>
      </c>
      <c r="K97" t="str">
        <f t="shared" ref="K97:K102" si="8">IF(B13&gt;0,REPLACE(J97,13,4,B13),"")</f>
        <v/>
      </c>
    </row>
    <row r="98" spans="10:11" x14ac:dyDescent="0.25">
      <c r="J98" t="s">
        <v>130</v>
      </c>
      <c r="K98" t="str">
        <f t="shared" si="8"/>
        <v/>
      </c>
    </row>
    <row r="99" spans="10:11" x14ac:dyDescent="0.25">
      <c r="J99" t="s">
        <v>131</v>
      </c>
      <c r="K99" t="str">
        <f t="shared" si="8"/>
        <v/>
      </c>
    </row>
    <row r="100" spans="10:11" x14ac:dyDescent="0.25">
      <c r="J100" t="s">
        <v>132</v>
      </c>
      <c r="K100" t="str">
        <f t="shared" si="8"/>
        <v/>
      </c>
    </row>
    <row r="101" spans="10:11" x14ac:dyDescent="0.25">
      <c r="J101" t="s">
        <v>133</v>
      </c>
      <c r="K101" t="str">
        <f t="shared" si="8"/>
        <v/>
      </c>
    </row>
    <row r="102" spans="10:11" x14ac:dyDescent="0.25">
      <c r="J102" t="s">
        <v>134</v>
      </c>
      <c r="K102" t="str">
        <f t="shared" si="8"/>
        <v/>
      </c>
    </row>
    <row r="103" spans="10:11" x14ac:dyDescent="0.25">
      <c r="J103" t="s">
        <v>821</v>
      </c>
      <c r="K103" t="str">
        <f>REPLACE(IF(C2&gt;0,REPLACE(J103,39,8,C2),""),6,3,I2)</f>
        <v>4.3. ABC Market Size and Forecast, by CC (2024-2032)</v>
      </c>
    </row>
    <row r="104" spans="10:11" x14ac:dyDescent="0.25">
      <c r="J104" t="s">
        <v>22</v>
      </c>
      <c r="K104" t="str">
        <f t="shared" ref="K104:K112" si="9">IF(C4&gt;0,REPLACE(J104,12,3,C4),"")</f>
        <v/>
      </c>
    </row>
    <row r="105" spans="10:11" x14ac:dyDescent="0.25">
      <c r="J105" t="s">
        <v>23</v>
      </c>
      <c r="K105" t="str">
        <f t="shared" si="9"/>
        <v/>
      </c>
    </row>
    <row r="106" spans="10:11" x14ac:dyDescent="0.25">
      <c r="J106" t="s">
        <v>24</v>
      </c>
      <c r="K106" t="str">
        <f t="shared" si="9"/>
        <v/>
      </c>
    </row>
    <row r="107" spans="10:11" x14ac:dyDescent="0.25">
      <c r="J107" t="s">
        <v>25</v>
      </c>
      <c r="K107" t="str">
        <f t="shared" si="9"/>
        <v/>
      </c>
    </row>
    <row r="108" spans="10:11" x14ac:dyDescent="0.25">
      <c r="J108" t="s">
        <v>26</v>
      </c>
      <c r="K108" t="str">
        <f t="shared" si="9"/>
        <v/>
      </c>
    </row>
    <row r="109" spans="10:11" x14ac:dyDescent="0.25">
      <c r="J109" t="s">
        <v>27</v>
      </c>
      <c r="K109" t="str">
        <f t="shared" si="9"/>
        <v/>
      </c>
    </row>
    <row r="110" spans="10:11" x14ac:dyDescent="0.25">
      <c r="J110" t="s">
        <v>28</v>
      </c>
      <c r="K110" t="str">
        <f t="shared" si="9"/>
        <v/>
      </c>
    </row>
    <row r="111" spans="10:11" x14ac:dyDescent="0.25">
      <c r="J111" t="s">
        <v>29</v>
      </c>
      <c r="K111" t="str">
        <f t="shared" si="9"/>
        <v/>
      </c>
    </row>
    <row r="112" spans="10:11" x14ac:dyDescent="0.25">
      <c r="J112" t="s">
        <v>30</v>
      </c>
      <c r="K112" t="str">
        <f t="shared" si="9"/>
        <v/>
      </c>
    </row>
    <row r="113" spans="10:11" x14ac:dyDescent="0.25">
      <c r="J113" t="s">
        <v>135</v>
      </c>
      <c r="K113" t="str">
        <f t="shared" ref="K113:K118" si="10">IF(C13&gt;0,REPLACE(J113,13,4,C13),"")</f>
        <v/>
      </c>
    </row>
    <row r="114" spans="10:11" x14ac:dyDescent="0.25">
      <c r="J114" t="s">
        <v>136</v>
      </c>
      <c r="K114" t="str">
        <f t="shared" si="10"/>
        <v/>
      </c>
    </row>
    <row r="115" spans="10:11" x14ac:dyDescent="0.25">
      <c r="J115" t="s">
        <v>137</v>
      </c>
      <c r="K115" t="str">
        <f t="shared" si="10"/>
        <v/>
      </c>
    </row>
    <row r="116" spans="10:11" x14ac:dyDescent="0.25">
      <c r="J116" t="s">
        <v>138</v>
      </c>
      <c r="K116" t="str">
        <f t="shared" si="10"/>
        <v/>
      </c>
    </row>
    <row r="117" spans="10:11" x14ac:dyDescent="0.25">
      <c r="J117" t="s">
        <v>139</v>
      </c>
      <c r="K117" t="str">
        <f t="shared" si="10"/>
        <v/>
      </c>
    </row>
    <row r="118" spans="10:11" x14ac:dyDescent="0.25">
      <c r="J118" t="s">
        <v>140</v>
      </c>
      <c r="K118" t="str">
        <f t="shared" si="10"/>
        <v/>
      </c>
    </row>
    <row r="119" spans="10:11" ht="14.25" customHeight="1" x14ac:dyDescent="0.25">
      <c r="J119" t="s">
        <v>822</v>
      </c>
      <c r="K119" t="str">
        <f>REPLACE(IF(D2&gt;0,REPLACE(J119,39,8,D2),""),6,3,I2)</f>
        <v>4.4. ABC Market Size and Forecast, by DD (2024-2032)</v>
      </c>
    </row>
    <row r="120" spans="10:11" x14ac:dyDescent="0.25">
      <c r="J120" t="s">
        <v>31</v>
      </c>
      <c r="K120" t="str">
        <f t="shared" ref="K120:K128" si="11">IF(D4&gt;0,REPLACE(J120,12,3,D4),"")</f>
        <v/>
      </c>
    </row>
    <row r="121" spans="10:11" x14ac:dyDescent="0.25">
      <c r="J121" t="s">
        <v>32</v>
      </c>
      <c r="K121" t="str">
        <f t="shared" si="11"/>
        <v/>
      </c>
    </row>
    <row r="122" spans="10:11" x14ac:dyDescent="0.25">
      <c r="J122" t="s">
        <v>33</v>
      </c>
      <c r="K122" t="str">
        <f t="shared" si="11"/>
        <v/>
      </c>
    </row>
    <row r="123" spans="10:11" x14ac:dyDescent="0.25">
      <c r="J123" t="s">
        <v>34</v>
      </c>
      <c r="K123" t="str">
        <f t="shared" si="11"/>
        <v/>
      </c>
    </row>
    <row r="124" spans="10:11" x14ac:dyDescent="0.25">
      <c r="J124" t="s">
        <v>35</v>
      </c>
      <c r="K124" t="str">
        <f t="shared" si="11"/>
        <v/>
      </c>
    </row>
    <row r="125" spans="10:11" x14ac:dyDescent="0.25">
      <c r="J125" t="s">
        <v>36</v>
      </c>
      <c r="K125" t="str">
        <f t="shared" si="11"/>
        <v/>
      </c>
    </row>
    <row r="126" spans="10:11" x14ac:dyDescent="0.25">
      <c r="J126" t="s">
        <v>37</v>
      </c>
      <c r="K126" t="str">
        <f t="shared" si="11"/>
        <v/>
      </c>
    </row>
    <row r="127" spans="10:11" x14ac:dyDescent="0.25">
      <c r="J127" t="s">
        <v>38</v>
      </c>
      <c r="K127" t="str">
        <f t="shared" si="11"/>
        <v/>
      </c>
    </row>
    <row r="128" spans="10:11" x14ac:dyDescent="0.25">
      <c r="J128" t="s">
        <v>39</v>
      </c>
      <c r="K128" t="str">
        <f t="shared" si="11"/>
        <v/>
      </c>
    </row>
    <row r="129" spans="10:11" x14ac:dyDescent="0.25">
      <c r="J129" t="s">
        <v>141</v>
      </c>
      <c r="K129" t="str">
        <f t="shared" ref="K129:K134" si="12">IF(D13&gt;0,REPLACE(J129,13,4,D13),"")</f>
        <v/>
      </c>
    </row>
    <row r="130" spans="10:11" x14ac:dyDescent="0.25">
      <c r="J130" t="s">
        <v>142</v>
      </c>
      <c r="K130" t="str">
        <f t="shared" si="12"/>
        <v/>
      </c>
    </row>
    <row r="131" spans="10:11" x14ac:dyDescent="0.25">
      <c r="J131" t="s">
        <v>143</v>
      </c>
      <c r="K131" t="str">
        <f t="shared" si="12"/>
        <v/>
      </c>
    </row>
    <row r="132" spans="10:11" x14ac:dyDescent="0.25">
      <c r="J132" t="s">
        <v>144</v>
      </c>
      <c r="K132" t="str">
        <f t="shared" si="12"/>
        <v/>
      </c>
    </row>
    <row r="133" spans="10:11" x14ac:dyDescent="0.25">
      <c r="J133" t="s">
        <v>145</v>
      </c>
      <c r="K133" t="str">
        <f t="shared" si="12"/>
        <v/>
      </c>
    </row>
    <row r="134" spans="10:11" x14ac:dyDescent="0.25">
      <c r="J134" t="s">
        <v>146</v>
      </c>
      <c r="K134" t="str">
        <f t="shared" si="12"/>
        <v/>
      </c>
    </row>
    <row r="135" spans="10:11" x14ac:dyDescent="0.25">
      <c r="J135" t="s">
        <v>823</v>
      </c>
      <c r="K135" t="str">
        <f>REPLACE(IF(E2&gt;0,REPLACE(J135,39,8,E2),""),6,3,I2)</f>
        <v>4.5. ABC Market Size and Forecast, by EE (2024-2032)</v>
      </c>
    </row>
    <row r="136" spans="10:11" x14ac:dyDescent="0.25">
      <c r="J136" t="s">
        <v>40</v>
      </c>
      <c r="K136" t="str">
        <f t="shared" ref="K136:K144" si="13">IF(E4&gt;0,REPLACE(J136,12,3,E4),"")</f>
        <v/>
      </c>
    </row>
    <row r="137" spans="10:11" x14ac:dyDescent="0.25">
      <c r="J137" t="s">
        <v>41</v>
      </c>
      <c r="K137" t="str">
        <f t="shared" si="13"/>
        <v/>
      </c>
    </row>
    <row r="138" spans="10:11" x14ac:dyDescent="0.25">
      <c r="J138" t="s">
        <v>42</v>
      </c>
      <c r="K138" t="str">
        <f t="shared" si="13"/>
        <v/>
      </c>
    </row>
    <row r="139" spans="10:11" x14ac:dyDescent="0.25">
      <c r="J139" t="s">
        <v>43</v>
      </c>
      <c r="K139" t="str">
        <f t="shared" si="13"/>
        <v/>
      </c>
    </row>
    <row r="140" spans="10:11" x14ac:dyDescent="0.25">
      <c r="J140" t="s">
        <v>44</v>
      </c>
      <c r="K140" t="str">
        <f t="shared" si="13"/>
        <v/>
      </c>
    </row>
    <row r="141" spans="10:11" x14ac:dyDescent="0.25">
      <c r="J141" t="s">
        <v>45</v>
      </c>
      <c r="K141" t="str">
        <f t="shared" si="13"/>
        <v/>
      </c>
    </row>
    <row r="142" spans="10:11" x14ac:dyDescent="0.25">
      <c r="J142" t="s">
        <v>46</v>
      </c>
      <c r="K142" t="str">
        <f t="shared" si="13"/>
        <v/>
      </c>
    </row>
    <row r="143" spans="10:11" x14ac:dyDescent="0.25">
      <c r="J143" t="s">
        <v>47</v>
      </c>
      <c r="K143" t="str">
        <f t="shared" si="13"/>
        <v/>
      </c>
    </row>
    <row r="144" spans="10:11" x14ac:dyDescent="0.25">
      <c r="J144" t="s">
        <v>48</v>
      </c>
      <c r="K144" t="str">
        <f t="shared" si="13"/>
        <v/>
      </c>
    </row>
    <row r="145" spans="10:11" x14ac:dyDescent="0.25">
      <c r="J145" t="s">
        <v>147</v>
      </c>
      <c r="K145" t="str">
        <f t="shared" ref="K145:K150" si="14">IF(E13&gt;0,REPLACE(J145,13,4,E13),"")</f>
        <v/>
      </c>
    </row>
    <row r="146" spans="10:11" x14ac:dyDescent="0.25">
      <c r="J146" t="s">
        <v>148</v>
      </c>
      <c r="K146" t="str">
        <f t="shared" si="14"/>
        <v/>
      </c>
    </row>
    <row r="147" spans="10:11" x14ac:dyDescent="0.25">
      <c r="J147" t="s">
        <v>149</v>
      </c>
      <c r="K147" t="str">
        <f t="shared" si="14"/>
        <v/>
      </c>
    </row>
    <row r="148" spans="10:11" x14ac:dyDescent="0.25">
      <c r="J148" t="s">
        <v>150</v>
      </c>
      <c r="K148" t="str">
        <f t="shared" si="14"/>
        <v/>
      </c>
    </row>
    <row r="149" spans="10:11" x14ac:dyDescent="0.25">
      <c r="J149" t="s">
        <v>151</v>
      </c>
      <c r="K149" t="str">
        <f t="shared" si="14"/>
        <v/>
      </c>
    </row>
    <row r="150" spans="10:11" x14ac:dyDescent="0.25">
      <c r="J150" t="s">
        <v>152</v>
      </c>
      <c r="K150" t="str">
        <f t="shared" si="14"/>
        <v/>
      </c>
    </row>
    <row r="151" spans="10:11" x14ac:dyDescent="0.25">
      <c r="J151" t="s">
        <v>824</v>
      </c>
      <c r="K151" t="str">
        <f>REPLACE(IF(F2&gt;0,REPLACE(J151,39,8,F2),""),6,3,I2)</f>
        <v>4.6. ABC Market Size and Forecast, by FF (2024-2032)</v>
      </c>
    </row>
    <row r="152" spans="10:11" x14ac:dyDescent="0.25">
      <c r="J152" t="s">
        <v>49</v>
      </c>
      <c r="K152" t="str">
        <f t="shared" ref="K152:K160" si="15">IF(F4&gt;0,REPLACE(J152,12,3,F4),"")</f>
        <v/>
      </c>
    </row>
    <row r="153" spans="10:11" x14ac:dyDescent="0.25">
      <c r="J153" t="s">
        <v>50</v>
      </c>
      <c r="K153" t="str">
        <f t="shared" si="15"/>
        <v/>
      </c>
    </row>
    <row r="154" spans="10:11" x14ac:dyDescent="0.25">
      <c r="J154" t="s">
        <v>51</v>
      </c>
      <c r="K154" t="str">
        <f t="shared" si="15"/>
        <v/>
      </c>
    </row>
    <row r="155" spans="10:11" x14ac:dyDescent="0.25">
      <c r="J155" t="s">
        <v>52</v>
      </c>
      <c r="K155" t="str">
        <f t="shared" si="15"/>
        <v/>
      </c>
    </row>
    <row r="156" spans="10:11" x14ac:dyDescent="0.25">
      <c r="J156" t="s">
        <v>53</v>
      </c>
      <c r="K156" t="str">
        <f t="shared" si="15"/>
        <v/>
      </c>
    </row>
    <row r="157" spans="10:11" x14ac:dyDescent="0.25">
      <c r="J157" t="s">
        <v>54</v>
      </c>
      <c r="K157" t="str">
        <f t="shared" si="15"/>
        <v/>
      </c>
    </row>
    <row r="158" spans="10:11" x14ac:dyDescent="0.25">
      <c r="J158" t="s">
        <v>55</v>
      </c>
      <c r="K158" t="str">
        <f t="shared" si="15"/>
        <v/>
      </c>
    </row>
    <row r="159" spans="10:11" x14ac:dyDescent="0.25">
      <c r="J159" t="s">
        <v>56</v>
      </c>
      <c r="K159" t="str">
        <f t="shared" si="15"/>
        <v/>
      </c>
    </row>
    <row r="160" spans="10:11" x14ac:dyDescent="0.25">
      <c r="J160" t="s">
        <v>57</v>
      </c>
      <c r="K160" t="str">
        <f t="shared" si="15"/>
        <v/>
      </c>
    </row>
    <row r="161" spans="10:11" x14ac:dyDescent="0.25">
      <c r="J161" t="s">
        <v>153</v>
      </c>
      <c r="K161" t="str">
        <f t="shared" ref="K161:K166" si="16">IF(F13&gt;0,REPLACE(J161,13,4,F13),"")</f>
        <v/>
      </c>
    </row>
    <row r="162" spans="10:11" x14ac:dyDescent="0.25">
      <c r="J162" t="s">
        <v>154</v>
      </c>
      <c r="K162" t="str">
        <f t="shared" si="16"/>
        <v/>
      </c>
    </row>
    <row r="163" spans="10:11" x14ac:dyDescent="0.25">
      <c r="J163" t="s">
        <v>155</v>
      </c>
      <c r="K163" t="str">
        <f t="shared" si="16"/>
        <v/>
      </c>
    </row>
    <row r="164" spans="10:11" x14ac:dyDescent="0.25">
      <c r="J164" t="s">
        <v>156</v>
      </c>
      <c r="K164" t="str">
        <f t="shared" si="16"/>
        <v/>
      </c>
    </row>
    <row r="165" spans="10:11" x14ac:dyDescent="0.25">
      <c r="J165" t="s">
        <v>157</v>
      </c>
      <c r="K165" t="str">
        <f t="shared" si="16"/>
        <v/>
      </c>
    </row>
    <row r="166" spans="10:11" x14ac:dyDescent="0.25">
      <c r="J166" t="s">
        <v>158</v>
      </c>
      <c r="K166" t="str">
        <f t="shared" si="16"/>
        <v/>
      </c>
    </row>
    <row r="167" spans="10:11" x14ac:dyDescent="0.25">
      <c r="J167" t="s">
        <v>1068</v>
      </c>
      <c r="K167" t="str">
        <f>REPLACE(J167,6,3,I2)</f>
        <v>4.7. ABC Market Size and Forecast, by Region (2024-2032)</v>
      </c>
    </row>
    <row r="168" spans="10:11" x14ac:dyDescent="0.25">
      <c r="J168" t="s">
        <v>1069</v>
      </c>
      <c r="K168" t="str">
        <f>J168</f>
        <v>&lt;em&gt;4.7.1. North America&lt;/em&gt;</v>
      </c>
    </row>
    <row r="169" spans="10:11" x14ac:dyDescent="0.25">
      <c r="J169" t="s">
        <v>1070</v>
      </c>
      <c r="K169" t="str">
        <f>J169</f>
        <v>&lt;em&gt;4.7.2. Europe&lt;/em&gt;</v>
      </c>
    </row>
    <row r="170" spans="10:11" x14ac:dyDescent="0.25">
      <c r="J170" t="s">
        <v>1071</v>
      </c>
      <c r="K170" t="str">
        <f>J170</f>
        <v>&lt;em&gt;4.7.3. Asia Pacific&lt;/em&gt;</v>
      </c>
    </row>
    <row r="171" spans="10:11" x14ac:dyDescent="0.25">
      <c r="J171" t="s">
        <v>1072</v>
      </c>
      <c r="K171" t="str">
        <f>J171</f>
        <v>&lt;em&gt;4.7.4. Middle East and Africa&lt;/em&gt;</v>
      </c>
    </row>
    <row r="172" spans="10:11" x14ac:dyDescent="0.25">
      <c r="J172" t="s">
        <v>1073</v>
      </c>
      <c r="K172" t="str">
        <f>J172</f>
        <v>&lt;em&gt;4.7.5. South America&lt;/em&gt;</v>
      </c>
    </row>
    <row r="174" spans="10:11" x14ac:dyDescent="0.25">
      <c r="J174" t="s">
        <v>827</v>
      </c>
      <c r="K174" t="str">
        <f>REPLACE(J174,FIND("ABC",J174,1),3,I2)</f>
        <v>&lt;strong&gt;5. North America ABC Market Size and Forecast by Segmentation (by Value in USD Million) 2024-2032&lt;/strong&gt;</v>
      </c>
    </row>
    <row r="175" spans="10:11" x14ac:dyDescent="0.25">
      <c r="J175" t="s">
        <v>828</v>
      </c>
      <c r="K175" t="str">
        <f>REPLACE(IF(A2&gt;0,REPLACE(J175,53,8,A2),""),20,3,I2)</f>
        <v>5.1. North America ABC Market Size and Forecast, by AA (2024-2032)</v>
      </c>
    </row>
    <row r="176" spans="10:11" x14ac:dyDescent="0.25">
      <c r="J176" t="s">
        <v>236</v>
      </c>
      <c r="K176" t="str">
        <f>IF(A4&gt;0,REPLACE(J176,12,3,A4),"")</f>
        <v/>
      </c>
    </row>
    <row r="177" spans="10:11" x14ac:dyDescent="0.25">
      <c r="J177" t="s">
        <v>237</v>
      </c>
      <c r="K177" t="str">
        <f>IF(A5&gt;0,REPLACE(J177,12,3,A5),"")</f>
        <v/>
      </c>
    </row>
    <row r="178" spans="10:11" x14ac:dyDescent="0.25">
      <c r="J178" t="s">
        <v>238</v>
      </c>
      <c r="K178" t="str">
        <f>IF(A6&gt;0,REPLACE(J178,12,3,A6),"")</f>
        <v/>
      </c>
    </row>
    <row r="179" spans="10:11" x14ac:dyDescent="0.25">
      <c r="J179" t="s">
        <v>239</v>
      </c>
      <c r="K179" t="str">
        <f>IF(A7&gt;0,REPLACE(J179,12,3,A7),"")</f>
        <v/>
      </c>
    </row>
    <row r="180" spans="10:11" x14ac:dyDescent="0.25">
      <c r="J180" t="s">
        <v>240</v>
      </c>
      <c r="K180" t="str">
        <f>IF(A8&gt;0,REPLACE(J180,12,3,A8),"")</f>
        <v/>
      </c>
    </row>
    <row r="181" spans="10:11" x14ac:dyDescent="0.25">
      <c r="J181" t="s">
        <v>241</v>
      </c>
      <c r="K181" t="str">
        <f>IF(A9&gt;0,REPLACE(J181,12,3,A9),"")</f>
        <v/>
      </c>
    </row>
    <row r="182" spans="10:11" x14ac:dyDescent="0.25">
      <c r="J182" t="s">
        <v>242</v>
      </c>
      <c r="K182" t="str">
        <f>IF(A10&gt;0,REPLACE(J182,12,3,A10),"")</f>
        <v/>
      </c>
    </row>
    <row r="183" spans="10:11" x14ac:dyDescent="0.25">
      <c r="J183" t="s">
        <v>243</v>
      </c>
      <c r="K183" t="str">
        <f>IF(A11&gt;0,REPLACE(J183,12,3,A11),"")</f>
        <v/>
      </c>
    </row>
    <row r="184" spans="10:11" x14ac:dyDescent="0.25">
      <c r="J184" t="s">
        <v>244</v>
      </c>
      <c r="K184" t="str">
        <f>IF(A12&gt;0,REPLACE(J184,12,3,A12),"")</f>
        <v/>
      </c>
    </row>
    <row r="185" spans="10:11" x14ac:dyDescent="0.25">
      <c r="J185" t="s">
        <v>245</v>
      </c>
      <c r="K185" t="str">
        <f>IF(A13&gt;0,REPLACE(J185,13,4,A13),"")</f>
        <v/>
      </c>
    </row>
    <row r="186" spans="10:11" x14ac:dyDescent="0.25">
      <c r="J186" t="s">
        <v>246</v>
      </c>
      <c r="K186" t="str">
        <f>IF(A14&gt;0,REPLACE(J186,13,4,A14),"")</f>
        <v/>
      </c>
    </row>
    <row r="187" spans="10:11" x14ac:dyDescent="0.25">
      <c r="J187" t="s">
        <v>247</v>
      </c>
      <c r="K187" t="str">
        <f>IF(A15&gt;0,REPLACE(J187,13,4,A15),"")</f>
        <v/>
      </c>
    </row>
    <row r="188" spans="10:11" x14ac:dyDescent="0.25">
      <c r="J188" t="s">
        <v>248</v>
      </c>
      <c r="K188" t="str">
        <f>IF(A16&gt;0,REPLACE(J188,13,4,A16),"")</f>
        <v/>
      </c>
    </row>
    <row r="189" spans="10:11" x14ac:dyDescent="0.25">
      <c r="J189" t="s">
        <v>249</v>
      </c>
      <c r="K189" t="str">
        <f>IF(A17&gt;0,REPLACE(J189,13,4,A17),"")</f>
        <v/>
      </c>
    </row>
    <row r="190" spans="10:11" x14ac:dyDescent="0.25">
      <c r="J190" t="s">
        <v>250</v>
      </c>
      <c r="K190" t="str">
        <f>IF(A18&gt;0,REPLACE(J190,13,4,A18),"")</f>
        <v/>
      </c>
    </row>
    <row r="191" spans="10:11" x14ac:dyDescent="0.25">
      <c r="J191" t="s">
        <v>829</v>
      </c>
      <c r="K191" t="str">
        <f>REPLACE(IF(B2&gt;0,REPLACE(J191,53,8,B2),""),20,3,I2)</f>
        <v>5.2. North America ABC Market Size and Forecast, by BB (2024-2032)</v>
      </c>
    </row>
    <row r="192" spans="10:11" x14ac:dyDescent="0.25">
      <c r="J192" t="s">
        <v>251</v>
      </c>
      <c r="K192" t="str">
        <f>IF(B4&gt;0,REPLACE(J192,12,3,B4),"")</f>
        <v/>
      </c>
    </row>
    <row r="193" spans="10:11" x14ac:dyDescent="0.25">
      <c r="J193" t="s">
        <v>252</v>
      </c>
      <c r="K193" t="str">
        <f>IF(B5&gt;0,REPLACE(J193,12,3,B5),"")</f>
        <v/>
      </c>
    </row>
    <row r="194" spans="10:11" x14ac:dyDescent="0.25">
      <c r="J194" t="s">
        <v>253</v>
      </c>
      <c r="K194" t="str">
        <f>IF(B6&gt;0,REPLACE(J194,12,3,B6),"")</f>
        <v/>
      </c>
    </row>
    <row r="195" spans="10:11" x14ac:dyDescent="0.25">
      <c r="J195" t="s">
        <v>254</v>
      </c>
      <c r="K195" t="str">
        <f>IF(B7&gt;0,REPLACE(J195,12,3,B7),"")</f>
        <v/>
      </c>
    </row>
    <row r="196" spans="10:11" x14ac:dyDescent="0.25">
      <c r="J196" t="s">
        <v>255</v>
      </c>
      <c r="K196" t="str">
        <f>IF(B8&gt;0,REPLACE(J196,12,3,B8),"")</f>
        <v/>
      </c>
    </row>
    <row r="197" spans="10:11" x14ac:dyDescent="0.25">
      <c r="J197" t="s">
        <v>256</v>
      </c>
      <c r="K197" t="str">
        <f>IF(B9&gt;0,REPLACE(J197,12,3,B9),"")</f>
        <v/>
      </c>
    </row>
    <row r="198" spans="10:11" x14ac:dyDescent="0.25">
      <c r="J198" t="s">
        <v>257</v>
      </c>
      <c r="K198" t="str">
        <f>IF(B10&gt;0,REPLACE(J198,12,3,B10),"")</f>
        <v/>
      </c>
    </row>
    <row r="199" spans="10:11" x14ac:dyDescent="0.25">
      <c r="J199" t="s">
        <v>258</v>
      </c>
      <c r="K199" t="str">
        <f>IF(B11&gt;0,REPLACE(J199,12,3,B11),"")</f>
        <v/>
      </c>
    </row>
    <row r="200" spans="10:11" x14ac:dyDescent="0.25">
      <c r="J200" t="s">
        <v>259</v>
      </c>
      <c r="K200" t="str">
        <f>IF(B12&gt;0,REPLACE(J200,12,3,B12),"")</f>
        <v/>
      </c>
    </row>
    <row r="201" spans="10:11" x14ac:dyDescent="0.25">
      <c r="J201" t="s">
        <v>260</v>
      </c>
      <c r="K201" t="str">
        <f>IF(B13&gt;0,REPLACE(J201,13,4,B13),"")</f>
        <v/>
      </c>
    </row>
    <row r="202" spans="10:11" x14ac:dyDescent="0.25">
      <c r="J202" t="s">
        <v>261</v>
      </c>
      <c r="K202" t="str">
        <f>IF(B14&gt;0,REPLACE(J202,13,4,B14),"")</f>
        <v/>
      </c>
    </row>
    <row r="203" spans="10:11" x14ac:dyDescent="0.25">
      <c r="J203" t="s">
        <v>262</v>
      </c>
      <c r="K203" t="str">
        <f>IF(B15&gt;0,REPLACE(J203,13,4,B15),"")</f>
        <v/>
      </c>
    </row>
    <row r="204" spans="10:11" x14ac:dyDescent="0.25">
      <c r="J204" t="s">
        <v>263</v>
      </c>
      <c r="K204" t="str">
        <f>IF(B16&gt;0,REPLACE(J204,13,4,B16),"")</f>
        <v/>
      </c>
    </row>
    <row r="205" spans="10:11" x14ac:dyDescent="0.25">
      <c r="J205" t="s">
        <v>264</v>
      </c>
      <c r="K205" t="str">
        <f>IF(B17&gt;0,REPLACE(J205,13,4,B17),"")</f>
        <v/>
      </c>
    </row>
    <row r="206" spans="10:11" x14ac:dyDescent="0.25">
      <c r="J206" t="s">
        <v>265</v>
      </c>
      <c r="K206" t="str">
        <f>IF(B18&gt;0,REPLACE(J206,13,4,B18),"")</f>
        <v/>
      </c>
    </row>
    <row r="207" spans="10:11" x14ac:dyDescent="0.25">
      <c r="J207" t="s">
        <v>830</v>
      </c>
      <c r="K207" t="str">
        <f>REPLACE(IF(C2&gt;0,REPLACE(J207,53,8,C2),""),20,3,I2)</f>
        <v>5.3. North America ABC Market Size and Forecast, by CC (2024-2032)</v>
      </c>
    </row>
    <row r="208" spans="10:11" x14ac:dyDescent="0.25">
      <c r="J208" t="s">
        <v>399</v>
      </c>
      <c r="K208" t="str">
        <f>IF(C4&gt;0,REPLACE(J208,12,3,C4),"")</f>
        <v/>
      </c>
    </row>
    <row r="209" spans="10:11" x14ac:dyDescent="0.25">
      <c r="J209" t="s">
        <v>400</v>
      </c>
      <c r="K209" t="str">
        <f>IF(C5&gt;0,REPLACE(J209,12,3,C5),"")</f>
        <v/>
      </c>
    </row>
    <row r="210" spans="10:11" x14ac:dyDescent="0.25">
      <c r="J210" t="s">
        <v>401</v>
      </c>
      <c r="K210" t="str">
        <f>IF(C6&gt;0,REPLACE(J210,12,3,C6),"")</f>
        <v/>
      </c>
    </row>
    <row r="211" spans="10:11" x14ac:dyDescent="0.25">
      <c r="J211" t="s">
        <v>402</v>
      </c>
      <c r="K211" t="str">
        <f>IF(C7&gt;0,REPLACE(J211,12,3,C7),"")</f>
        <v/>
      </c>
    </row>
    <row r="212" spans="10:11" x14ac:dyDescent="0.25">
      <c r="J212" t="s">
        <v>403</v>
      </c>
      <c r="K212" t="str">
        <f>IF(C8&gt;0,REPLACE(J212,12,3,C8),"")</f>
        <v/>
      </c>
    </row>
    <row r="213" spans="10:11" x14ac:dyDescent="0.25">
      <c r="J213" t="s">
        <v>404</v>
      </c>
      <c r="K213" t="str">
        <f>IF(C9&gt;0,REPLACE(J213,12,3,C9),"")</f>
        <v/>
      </c>
    </row>
    <row r="214" spans="10:11" x14ac:dyDescent="0.25">
      <c r="J214" t="s">
        <v>405</v>
      </c>
      <c r="K214" t="str">
        <f>IF(C10&gt;0,REPLACE(J214,12,3,C10),"")</f>
        <v/>
      </c>
    </row>
    <row r="215" spans="10:11" x14ac:dyDescent="0.25">
      <c r="J215" t="s">
        <v>406</v>
      </c>
      <c r="K215" t="str">
        <f>IF(C11&gt;0,REPLACE(J215,12,3,C11),"")</f>
        <v/>
      </c>
    </row>
    <row r="216" spans="10:11" x14ac:dyDescent="0.25">
      <c r="J216" t="s">
        <v>407</v>
      </c>
      <c r="K216" t="str">
        <f>IF(C12&gt;0,REPLACE(J216,12,3,C12),"")</f>
        <v/>
      </c>
    </row>
    <row r="217" spans="10:11" x14ac:dyDescent="0.25">
      <c r="J217" t="s">
        <v>408</v>
      </c>
      <c r="K217" t="str">
        <f>IF(C13&gt;0,REPLACE(J217,13,4,C13),"")</f>
        <v/>
      </c>
    </row>
    <row r="218" spans="10:11" x14ac:dyDescent="0.25">
      <c r="J218" t="s">
        <v>409</v>
      </c>
      <c r="K218" t="str">
        <f>IF(C14&gt;0,REPLACE(J218,13,4,C14),"")</f>
        <v/>
      </c>
    </row>
    <row r="219" spans="10:11" x14ac:dyDescent="0.25">
      <c r="J219" t="s">
        <v>410</v>
      </c>
      <c r="K219" t="str">
        <f>IF(C15&gt;0,REPLACE(J219,13,4,C15),"")</f>
        <v/>
      </c>
    </row>
    <row r="220" spans="10:11" x14ac:dyDescent="0.25">
      <c r="J220" t="s">
        <v>411</v>
      </c>
      <c r="K220" t="str">
        <f>IF(C16&gt;0,REPLACE(J220,13,4,C16),"")</f>
        <v/>
      </c>
    </row>
    <row r="221" spans="10:11" x14ac:dyDescent="0.25">
      <c r="J221" t="s">
        <v>412</v>
      </c>
      <c r="K221" t="str">
        <f>IF(C17&gt;0,REPLACE(J221,13,4,C17),"")</f>
        <v/>
      </c>
    </row>
    <row r="222" spans="10:11" x14ac:dyDescent="0.25">
      <c r="J222" t="s">
        <v>413</v>
      </c>
      <c r="K222" t="str">
        <f>IF(C18&gt;0,REPLACE(J222,13,4,C18),"")</f>
        <v/>
      </c>
    </row>
    <row r="223" spans="10:11" x14ac:dyDescent="0.25">
      <c r="J223" t="s">
        <v>831</v>
      </c>
      <c r="K223" t="str">
        <f>REPLACE(IF(D2&gt;0,REPLACE(J223,53,8,D2),""),20,3,I2)</f>
        <v>5.4. North America ABC Market Size and Forecast, by DD (2024-2032)</v>
      </c>
    </row>
    <row r="224" spans="10:11" x14ac:dyDescent="0.25">
      <c r="J224" t="s">
        <v>414</v>
      </c>
      <c r="K224" t="str">
        <f>IF(D4&gt;0,REPLACE(J224,12,3,D4),"")</f>
        <v/>
      </c>
    </row>
    <row r="225" spans="10:11" x14ac:dyDescent="0.25">
      <c r="J225" t="s">
        <v>415</v>
      </c>
      <c r="K225" t="str">
        <f>IF(D5&gt;0,REPLACE(J225,12,3,D5),"")</f>
        <v/>
      </c>
    </row>
    <row r="226" spans="10:11" x14ac:dyDescent="0.25">
      <c r="J226" t="s">
        <v>416</v>
      </c>
      <c r="K226" t="str">
        <f>IF(D6&gt;0,REPLACE(J226,12,3,D6),"")</f>
        <v/>
      </c>
    </row>
    <row r="227" spans="10:11" x14ac:dyDescent="0.25">
      <c r="J227" t="s">
        <v>417</v>
      </c>
      <c r="K227" t="str">
        <f>IF(D7&gt;0,REPLACE(J227,12,3,D7),"")</f>
        <v/>
      </c>
    </row>
    <row r="228" spans="10:11" x14ac:dyDescent="0.25">
      <c r="J228" t="s">
        <v>418</v>
      </c>
      <c r="K228" t="str">
        <f>IF(D8&gt;0,REPLACE(J228,12,3,D8),"")</f>
        <v/>
      </c>
    </row>
    <row r="229" spans="10:11" x14ac:dyDescent="0.25">
      <c r="J229" t="s">
        <v>419</v>
      </c>
      <c r="K229" t="str">
        <f>IF(D9&gt;0,REPLACE(J229,12,3,D9),"")</f>
        <v/>
      </c>
    </row>
    <row r="230" spans="10:11" x14ac:dyDescent="0.25">
      <c r="J230" t="s">
        <v>420</v>
      </c>
      <c r="K230" t="str">
        <f>IF(D10&gt;0,REPLACE(J230,12,3,D10),"")</f>
        <v/>
      </c>
    </row>
    <row r="231" spans="10:11" x14ac:dyDescent="0.25">
      <c r="J231" t="s">
        <v>421</v>
      </c>
      <c r="K231" t="str">
        <f>IF(D11&gt;0,REPLACE(J231,12,3,D11),"")</f>
        <v/>
      </c>
    </row>
    <row r="232" spans="10:11" x14ac:dyDescent="0.25">
      <c r="J232" t="s">
        <v>422</v>
      </c>
      <c r="K232" t="str">
        <f>IF(D12&gt;0,REPLACE(J232,12,3,D12),"")</f>
        <v/>
      </c>
    </row>
    <row r="233" spans="10:11" x14ac:dyDescent="0.25">
      <c r="J233" t="s">
        <v>423</v>
      </c>
      <c r="K233" t="str">
        <f>IF(D13&gt;0,REPLACE(J233,13,4,D13),"")</f>
        <v/>
      </c>
    </row>
    <row r="234" spans="10:11" x14ac:dyDescent="0.25">
      <c r="J234" t="s">
        <v>424</v>
      </c>
      <c r="K234" t="str">
        <f>IF(D14&gt;0,REPLACE(J234,13,4,D14),"")</f>
        <v/>
      </c>
    </row>
    <row r="235" spans="10:11" x14ac:dyDescent="0.25">
      <c r="J235" t="s">
        <v>425</v>
      </c>
      <c r="K235" t="str">
        <f>IF(D15&gt;0,REPLACE(J235,13,4,D15),"")</f>
        <v/>
      </c>
    </row>
    <row r="236" spans="10:11" x14ac:dyDescent="0.25">
      <c r="J236" t="s">
        <v>426</v>
      </c>
      <c r="K236" t="str">
        <f>IF(D16&gt;0,REPLACE(J236,13,4,D16),"")</f>
        <v/>
      </c>
    </row>
    <row r="237" spans="10:11" x14ac:dyDescent="0.25">
      <c r="J237" t="s">
        <v>427</v>
      </c>
      <c r="K237" t="str">
        <f>IF(D17&gt;0,REPLACE(J237,13,4,D17),"")</f>
        <v/>
      </c>
    </row>
    <row r="238" spans="10:11" x14ac:dyDescent="0.25">
      <c r="J238" t="s">
        <v>428</v>
      </c>
      <c r="K238" t="str">
        <f>IF(D18&gt;0,REPLACE(J238,13,4,D18),"")</f>
        <v/>
      </c>
    </row>
    <row r="239" spans="10:11" x14ac:dyDescent="0.25">
      <c r="J239" t="s">
        <v>832</v>
      </c>
      <c r="K239" t="str">
        <f>REPLACE(IF(E2&gt;0,REPLACE(J239,53,8,E2),""),20,3,I2)</f>
        <v>5.5. North America ABC Market Size and Forecast, by EE (2024-2032)</v>
      </c>
    </row>
    <row r="240" spans="10:11" x14ac:dyDescent="0.25">
      <c r="J240" t="s">
        <v>429</v>
      </c>
      <c r="K240" t="str">
        <f>IF(E4&gt;0,REPLACE(J240,12,3,E4),"")</f>
        <v/>
      </c>
    </row>
    <row r="241" spans="10:11" x14ac:dyDescent="0.25">
      <c r="J241" t="s">
        <v>430</v>
      </c>
      <c r="K241" t="str">
        <f>IF(E5&gt;0,REPLACE(J241,12,3,E5),"")</f>
        <v/>
      </c>
    </row>
    <row r="242" spans="10:11" x14ac:dyDescent="0.25">
      <c r="J242" t="s">
        <v>431</v>
      </c>
      <c r="K242" t="str">
        <f>IF(E6&gt;0,REPLACE(J242,12,3,E6),"")</f>
        <v/>
      </c>
    </row>
    <row r="243" spans="10:11" x14ac:dyDescent="0.25">
      <c r="J243" t="s">
        <v>432</v>
      </c>
      <c r="K243" t="str">
        <f>IF(E7&gt;0,REPLACE(J243,12,3,E7),"")</f>
        <v/>
      </c>
    </row>
    <row r="244" spans="10:11" x14ac:dyDescent="0.25">
      <c r="J244" t="s">
        <v>433</v>
      </c>
      <c r="K244" t="str">
        <f>IF(E8&gt;0,REPLACE(J244,12,3,E8),"")</f>
        <v/>
      </c>
    </row>
    <row r="245" spans="10:11" x14ac:dyDescent="0.25">
      <c r="J245" t="s">
        <v>434</v>
      </c>
      <c r="K245" t="str">
        <f>IF(E9&gt;0,REPLACE(J245,12,3,E9),"")</f>
        <v/>
      </c>
    </row>
    <row r="246" spans="10:11" x14ac:dyDescent="0.25">
      <c r="J246" t="s">
        <v>435</v>
      </c>
      <c r="K246" t="str">
        <f>IF(E10&gt;0,REPLACE(J246,12,3,E10),"")</f>
        <v/>
      </c>
    </row>
    <row r="247" spans="10:11" x14ac:dyDescent="0.25">
      <c r="J247" t="s">
        <v>436</v>
      </c>
      <c r="K247" t="str">
        <f>IF(E11&gt;0,REPLACE(J247,12,3,E11),"")</f>
        <v/>
      </c>
    </row>
    <row r="248" spans="10:11" x14ac:dyDescent="0.25">
      <c r="J248" t="s">
        <v>437</v>
      </c>
      <c r="K248" t="str">
        <f>IF(E12&gt;0,REPLACE(J248,12,3,E12),"")</f>
        <v/>
      </c>
    </row>
    <row r="249" spans="10:11" x14ac:dyDescent="0.25">
      <c r="J249" t="s">
        <v>438</v>
      </c>
      <c r="K249" t="str">
        <f>IF(E13&gt;0,REPLACE(J249,13,4,E13),"")</f>
        <v/>
      </c>
    </row>
    <row r="250" spans="10:11" x14ac:dyDescent="0.25">
      <c r="J250" t="s">
        <v>439</v>
      </c>
      <c r="K250" t="str">
        <f>IF(E14&gt;0,REPLACE(J250,13,4,E14),"")</f>
        <v/>
      </c>
    </row>
    <row r="251" spans="10:11" x14ac:dyDescent="0.25">
      <c r="J251" t="s">
        <v>440</v>
      </c>
      <c r="K251" t="str">
        <f>IF(E15&gt;0,REPLACE(J251,13,4,E15),"")</f>
        <v/>
      </c>
    </row>
    <row r="252" spans="10:11" x14ac:dyDescent="0.25">
      <c r="J252" t="s">
        <v>441</v>
      </c>
      <c r="K252" t="str">
        <f>IF(E16&gt;0,REPLACE(J252,13,4,E16),"")</f>
        <v/>
      </c>
    </row>
    <row r="253" spans="10:11" x14ac:dyDescent="0.25">
      <c r="J253" t="s">
        <v>442</v>
      </c>
      <c r="K253" t="str">
        <f>IF(E17&gt;0,REPLACE(J253,13,4,E17),"")</f>
        <v/>
      </c>
    </row>
    <row r="254" spans="10:11" x14ac:dyDescent="0.25">
      <c r="J254" t="s">
        <v>443</v>
      </c>
      <c r="K254" t="str">
        <f>IF(E18&gt;0,REPLACE(J254,13,4,E18),"")</f>
        <v/>
      </c>
    </row>
    <row r="255" spans="10:11" x14ac:dyDescent="0.25">
      <c r="J255" t="s">
        <v>833</v>
      </c>
      <c r="K255" t="str">
        <f>REPLACE(IF(F2&gt;0,REPLACE(J255,53,8,F2),""),20,3,I2)</f>
        <v>5.6. North America ABC Market Size and Forecast, by FF (2024-2032)</v>
      </c>
    </row>
    <row r="256" spans="10:11" x14ac:dyDescent="0.25">
      <c r="J256" t="s">
        <v>444</v>
      </c>
      <c r="K256" t="str">
        <f>IF(F4&gt;0,REPLACE(J256,12,3,F4),"")</f>
        <v/>
      </c>
    </row>
    <row r="257" spans="10:11" x14ac:dyDescent="0.25">
      <c r="J257" t="s">
        <v>445</v>
      </c>
      <c r="K257" t="str">
        <f>IF(F5&gt;0,REPLACE(J257,12,3,F5),"")</f>
        <v/>
      </c>
    </row>
    <row r="258" spans="10:11" x14ac:dyDescent="0.25">
      <c r="J258" t="s">
        <v>446</v>
      </c>
      <c r="K258" t="str">
        <f>IF(F6&gt;0,REPLACE(J258,12,3,F6),"")</f>
        <v/>
      </c>
    </row>
    <row r="259" spans="10:11" x14ac:dyDescent="0.25">
      <c r="J259" t="s">
        <v>447</v>
      </c>
      <c r="K259" t="str">
        <f>IF(F7&gt;0,REPLACE(J259,12,3,F7),"")</f>
        <v/>
      </c>
    </row>
    <row r="260" spans="10:11" x14ac:dyDescent="0.25">
      <c r="J260" t="s">
        <v>448</v>
      </c>
      <c r="K260" t="str">
        <f>IF(F8&gt;0,REPLACE(J260,12,3,F8),"")</f>
        <v/>
      </c>
    </row>
    <row r="261" spans="10:11" x14ac:dyDescent="0.25">
      <c r="J261" t="s">
        <v>449</v>
      </c>
      <c r="K261" t="str">
        <f>IF(F9&gt;0,REPLACE(J261,12,3,F9),"")</f>
        <v/>
      </c>
    </row>
    <row r="262" spans="10:11" x14ac:dyDescent="0.25">
      <c r="J262" t="s">
        <v>450</v>
      </c>
      <c r="K262" t="str">
        <f>IF(F10&gt;0,REPLACE(J262,12,3,F10),"")</f>
        <v/>
      </c>
    </row>
    <row r="263" spans="10:11" x14ac:dyDescent="0.25">
      <c r="J263" t="s">
        <v>451</v>
      </c>
      <c r="K263" t="str">
        <f>IF(F11&gt;0,REPLACE(J263,12,3,F11),"")</f>
        <v/>
      </c>
    </row>
    <row r="264" spans="10:11" x14ac:dyDescent="0.25">
      <c r="J264" t="s">
        <v>452</v>
      </c>
      <c r="K264" t="str">
        <f>IF(F12&gt;0,REPLACE(J264,12,3,F12),"")</f>
        <v/>
      </c>
    </row>
    <row r="265" spans="10:11" x14ac:dyDescent="0.25">
      <c r="J265" t="s">
        <v>453</v>
      </c>
      <c r="K265" t="str">
        <f>IF(F13&gt;0,REPLACE(J265,13,4,F13),"")</f>
        <v/>
      </c>
    </row>
    <row r="266" spans="10:11" x14ac:dyDescent="0.25">
      <c r="J266" t="s">
        <v>454</v>
      </c>
      <c r="K266" t="str">
        <f>IF(F14&gt;0,REPLACE(J266,13,4,F14),"")</f>
        <v/>
      </c>
    </row>
    <row r="267" spans="10:11" x14ac:dyDescent="0.25">
      <c r="J267" t="s">
        <v>455</v>
      </c>
      <c r="K267" t="str">
        <f>IF(F15&gt;0,REPLACE(J267,13,4,F15),"")</f>
        <v/>
      </c>
    </row>
    <row r="268" spans="10:11" x14ac:dyDescent="0.25">
      <c r="J268" t="s">
        <v>456</v>
      </c>
      <c r="K268" t="str">
        <f>IF(F16&gt;0,REPLACE(J268,13,4,F16),"")</f>
        <v/>
      </c>
    </row>
    <row r="269" spans="10:11" x14ac:dyDescent="0.25">
      <c r="J269" t="s">
        <v>457</v>
      </c>
      <c r="K269" t="str">
        <f>IF(F17&gt;0,REPLACE(J269,13,4,F17),"")</f>
        <v/>
      </c>
    </row>
    <row r="270" spans="10:11" x14ac:dyDescent="0.25">
      <c r="J270" t="s">
        <v>458</v>
      </c>
      <c r="K270" t="str">
        <f>IF(F18&gt;0,REPLACE(J270,13,4,F18),"")</f>
        <v/>
      </c>
    </row>
    <row r="271" spans="10:11" x14ac:dyDescent="0.25">
      <c r="J271" t="s">
        <v>1074</v>
      </c>
      <c r="K271" t="str">
        <f>REPLACE(J271,20,3,I2)</f>
        <v>5.7. North America ABC Market Size and Forecast, by Country (2024-2032)</v>
      </c>
    </row>
    <row r="272" spans="10:11" x14ac:dyDescent="0.25">
      <c r="J272" t="s">
        <v>1075</v>
      </c>
      <c r="K272" t="str">
        <f>J272</f>
        <v>&lt;strong&gt;&lt;em&gt;5.7.1. United States&lt;/em&gt;&lt;/strong&gt;</v>
      </c>
    </row>
    <row r="273" spans="10:11" x14ac:dyDescent="0.25">
      <c r="J273" t="s">
        <v>1076</v>
      </c>
      <c r="K273" t="str">
        <f>REPLACE(IF(A2&gt;0,REPLACE(J273,61,8,A2),""),28,3,I2)</f>
        <v>&lt;em&gt;5.7.1.1. United States ABC Market Size and Forecast, by AA (2024-2032)&lt;/em&gt;</v>
      </c>
    </row>
    <row r="274" spans="10:11" x14ac:dyDescent="0.25">
      <c r="J274" t="s">
        <v>1077</v>
      </c>
      <c r="K274" t="str">
        <f>IF(A4&gt;0,REPLACE(J274,16,3,A4),"")</f>
        <v/>
      </c>
    </row>
    <row r="275" spans="10:11" x14ac:dyDescent="0.25">
      <c r="J275" t="s">
        <v>1078</v>
      </c>
      <c r="K275" t="str">
        <f>IF(A5&gt;0,REPLACE(J275,16,3,A5),"")</f>
        <v/>
      </c>
    </row>
    <row r="276" spans="10:11" x14ac:dyDescent="0.25">
      <c r="J276" t="s">
        <v>1079</v>
      </c>
      <c r="K276" t="str">
        <f>IF(A6&gt;0,REPLACE(J276,16,3,A6),"")</f>
        <v/>
      </c>
    </row>
    <row r="277" spans="10:11" x14ac:dyDescent="0.25">
      <c r="J277" t="s">
        <v>1080</v>
      </c>
      <c r="K277" t="str">
        <f>IF(A7&gt;0,REPLACE(J277,16,3,A7),"")</f>
        <v/>
      </c>
    </row>
    <row r="278" spans="10:11" x14ac:dyDescent="0.25">
      <c r="J278" t="s">
        <v>1081</v>
      </c>
      <c r="K278" t="str">
        <f>IF(A8&gt;0,REPLACE(J278,16,3,A8),"")</f>
        <v/>
      </c>
    </row>
    <row r="279" spans="10:11" x14ac:dyDescent="0.25">
      <c r="J279" t="s">
        <v>1082</v>
      </c>
      <c r="K279" t="str">
        <f>IF(A9&gt;0,REPLACE(J279,16,3,A9),"")</f>
        <v/>
      </c>
    </row>
    <row r="280" spans="10:11" x14ac:dyDescent="0.25">
      <c r="J280" t="s">
        <v>1083</v>
      </c>
      <c r="K280" t="str">
        <f>IF(A10&gt;0,REPLACE(J280,16,3,A10),"")</f>
        <v/>
      </c>
    </row>
    <row r="281" spans="10:11" x14ac:dyDescent="0.25">
      <c r="J281" t="s">
        <v>1084</v>
      </c>
      <c r="K281" t="str">
        <f>IF(A11&gt;0,REPLACE(J281,16,3,A11),"")</f>
        <v/>
      </c>
    </row>
    <row r="282" spans="10:11" x14ac:dyDescent="0.25">
      <c r="J282" t="s">
        <v>1085</v>
      </c>
      <c r="K282" t="str">
        <f>IF(A12&gt;0,REPLACE(J282,16,3,A12),"")</f>
        <v/>
      </c>
    </row>
    <row r="283" spans="10:11" x14ac:dyDescent="0.25">
      <c r="J283" t="s">
        <v>1086</v>
      </c>
      <c r="K283" t="str">
        <f>IF(A13&gt;0,REPLACE(J283,17,4,A13),"")</f>
        <v/>
      </c>
    </row>
    <row r="284" spans="10:11" x14ac:dyDescent="0.25">
      <c r="J284" t="s">
        <v>1087</v>
      </c>
      <c r="K284" t="str">
        <f>IF(A14&gt;0,REPLACE(J284,17,4,A14),"")</f>
        <v/>
      </c>
    </row>
    <row r="285" spans="10:11" x14ac:dyDescent="0.25">
      <c r="J285" t="s">
        <v>1088</v>
      </c>
      <c r="K285" t="str">
        <f>IF(A15&gt;0,REPLACE(J285,17,4,A15),"")</f>
        <v/>
      </c>
    </row>
    <row r="286" spans="10:11" x14ac:dyDescent="0.25">
      <c r="J286" t="s">
        <v>1089</v>
      </c>
      <c r="K286" t="str">
        <f>IF(A16&gt;0,REPLACE(J286,17,4,A16),"")</f>
        <v/>
      </c>
    </row>
    <row r="287" spans="10:11" x14ac:dyDescent="0.25">
      <c r="J287" t="s">
        <v>1090</v>
      </c>
      <c r="K287" t="str">
        <f>IF(A17&gt;0,REPLACE(J287,17,4,A17),"")</f>
        <v/>
      </c>
    </row>
    <row r="288" spans="10:11" x14ac:dyDescent="0.25">
      <c r="J288" t="s">
        <v>1091</v>
      </c>
      <c r="K288" t="str">
        <f>IF(A18&gt;0,REPLACE(J288,17,4,A18),"")</f>
        <v/>
      </c>
    </row>
    <row r="289" spans="10:11" x14ac:dyDescent="0.25">
      <c r="J289" t="s">
        <v>1092</v>
      </c>
      <c r="K289" t="str">
        <f>REPLACE(IF(B2&gt;0,REPLACE(J289,61,8,B2),""),28,3,I2)</f>
        <v>&lt;em&gt;5.7.1.2. United States ABC Market Size and Forecast, by BB (2024-2032)&lt;/em&gt;</v>
      </c>
    </row>
    <row r="290" spans="10:11" x14ac:dyDescent="0.25">
      <c r="J290" t="s">
        <v>1093</v>
      </c>
      <c r="K290" t="str">
        <f>IF(B4&gt;0,REPLACE(J290,16,3,B4),"")</f>
        <v/>
      </c>
    </row>
    <row r="291" spans="10:11" x14ac:dyDescent="0.25">
      <c r="J291" t="s">
        <v>1094</v>
      </c>
      <c r="K291" t="str">
        <f>IF(B5&gt;0,REPLACE(J291,16,3,B5),"")</f>
        <v/>
      </c>
    </row>
    <row r="292" spans="10:11" x14ac:dyDescent="0.25">
      <c r="J292" t="s">
        <v>1095</v>
      </c>
      <c r="K292" t="str">
        <f>IF(B6&gt;0,REPLACE(J292,16,3,B6),"")</f>
        <v/>
      </c>
    </row>
    <row r="293" spans="10:11" x14ac:dyDescent="0.25">
      <c r="J293" t="s">
        <v>1096</v>
      </c>
      <c r="K293" t="str">
        <f>IF(B7&gt;0,REPLACE(J293,16,3,B7),"")</f>
        <v/>
      </c>
    </row>
    <row r="294" spans="10:11" x14ac:dyDescent="0.25">
      <c r="J294" t="s">
        <v>1097</v>
      </c>
      <c r="K294" t="str">
        <f>IF(B8&gt;0,REPLACE(J294,16,3,B8),"")</f>
        <v/>
      </c>
    </row>
    <row r="295" spans="10:11" x14ac:dyDescent="0.25">
      <c r="J295" t="s">
        <v>1098</v>
      </c>
      <c r="K295" t="str">
        <f>IF(B9&gt;0,REPLACE(J295,16,3,B9),"")</f>
        <v/>
      </c>
    </row>
    <row r="296" spans="10:11" x14ac:dyDescent="0.25">
      <c r="J296" t="s">
        <v>1099</v>
      </c>
      <c r="K296" t="str">
        <f>IF(B10&gt;0,REPLACE(J296,16,3,B10),"")</f>
        <v/>
      </c>
    </row>
    <row r="297" spans="10:11" x14ac:dyDescent="0.25">
      <c r="J297" t="s">
        <v>1100</v>
      </c>
      <c r="K297" t="str">
        <f>IF(B11&gt;0,REPLACE(J297,16,3,B11),"")</f>
        <v/>
      </c>
    </row>
    <row r="298" spans="10:11" x14ac:dyDescent="0.25">
      <c r="J298" t="s">
        <v>1101</v>
      </c>
      <c r="K298" t="str">
        <f>IF(B12&gt;0,REPLACE(J298,16,3,B12),"")</f>
        <v/>
      </c>
    </row>
    <row r="299" spans="10:11" x14ac:dyDescent="0.25">
      <c r="J299" t="s">
        <v>1102</v>
      </c>
      <c r="K299" t="str">
        <f>IF(B13&gt;0,REPLACE(J299,17,4,B13),"")</f>
        <v/>
      </c>
    </row>
    <row r="300" spans="10:11" x14ac:dyDescent="0.25">
      <c r="J300" t="s">
        <v>1103</v>
      </c>
      <c r="K300" t="str">
        <f>IF(B14&gt;0,REPLACE(J300,17,4,B14),"")</f>
        <v/>
      </c>
    </row>
    <row r="301" spans="10:11" x14ac:dyDescent="0.25">
      <c r="J301" t="s">
        <v>1104</v>
      </c>
      <c r="K301" t="str">
        <f>IF(B15&gt;0,REPLACE(J301,17,4,B15),"")</f>
        <v/>
      </c>
    </row>
    <row r="302" spans="10:11" x14ac:dyDescent="0.25">
      <c r="J302" t="s">
        <v>1105</v>
      </c>
      <c r="K302" t="str">
        <f>IF(B16&gt;0,REPLACE(J302,17,4,B16),"")</f>
        <v/>
      </c>
    </row>
    <row r="303" spans="10:11" x14ac:dyDescent="0.25">
      <c r="J303" t="s">
        <v>1106</v>
      </c>
      <c r="K303" t="str">
        <f>IF(B17&gt;0,REPLACE(J303,17,4,B17),"")</f>
        <v/>
      </c>
    </row>
    <row r="304" spans="10:11" x14ac:dyDescent="0.25">
      <c r="J304" t="s">
        <v>1107</v>
      </c>
      <c r="K304" t="str">
        <f>IF(B18&gt;0,REPLACE(J304,17,4,B18),"")</f>
        <v/>
      </c>
    </row>
    <row r="305" spans="10:11" x14ac:dyDescent="0.25">
      <c r="J305" t="s">
        <v>1108</v>
      </c>
      <c r="K305" t="str">
        <f>REPLACE(IF(C2&gt;0,REPLACE(J305,61,8,C2),""),28,3,I2)</f>
        <v>&lt;em&gt;5.7.1.3. United States ABC Market Size and Forecast, by CC (2024-2032)&lt;/em&gt;</v>
      </c>
    </row>
    <row r="306" spans="10:11" x14ac:dyDescent="0.25">
      <c r="J306" t="s">
        <v>1109</v>
      </c>
      <c r="K306" t="str">
        <f>IF(C4&gt;0,REPLACE(J306,16,3,C4),"")</f>
        <v/>
      </c>
    </row>
    <row r="307" spans="10:11" x14ac:dyDescent="0.25">
      <c r="J307" t="s">
        <v>1110</v>
      </c>
      <c r="K307" t="str">
        <f>IF(C5&gt;0,REPLACE(J307,16,3,C5),"")</f>
        <v/>
      </c>
    </row>
    <row r="308" spans="10:11" x14ac:dyDescent="0.25">
      <c r="J308" t="s">
        <v>1111</v>
      </c>
      <c r="K308" t="str">
        <f>IF(C6&gt;0,REPLACE(J308,16,3,C6),"")</f>
        <v/>
      </c>
    </row>
    <row r="309" spans="10:11" x14ac:dyDescent="0.25">
      <c r="J309" t="s">
        <v>1112</v>
      </c>
      <c r="K309" t="str">
        <f>IF(C7&gt;0,REPLACE(J309,16,3,C7),"")</f>
        <v/>
      </c>
    </row>
    <row r="310" spans="10:11" x14ac:dyDescent="0.25">
      <c r="J310" t="s">
        <v>1113</v>
      </c>
      <c r="K310" t="str">
        <f>IF(C8&gt;0,REPLACE(J310,16,3,C8),"")</f>
        <v/>
      </c>
    </row>
    <row r="311" spans="10:11" x14ac:dyDescent="0.25">
      <c r="J311" t="s">
        <v>1114</v>
      </c>
      <c r="K311" t="str">
        <f>IF(C9&gt;0,REPLACE(J311,16,3,C9),"")</f>
        <v/>
      </c>
    </row>
    <row r="312" spans="10:11" x14ac:dyDescent="0.25">
      <c r="J312" t="s">
        <v>1115</v>
      </c>
      <c r="K312" t="str">
        <f>IF(C10&gt;0,REPLACE(J312,16,3,C10),"")</f>
        <v/>
      </c>
    </row>
    <row r="313" spans="10:11" x14ac:dyDescent="0.25">
      <c r="J313" t="s">
        <v>1116</v>
      </c>
      <c r="K313" t="str">
        <f>IF(C11&gt;0,REPLACE(J313,16,3,C11),"")</f>
        <v/>
      </c>
    </row>
    <row r="314" spans="10:11" x14ac:dyDescent="0.25">
      <c r="J314" t="s">
        <v>1117</v>
      </c>
      <c r="K314" t="str">
        <f>IF(C12&gt;0,REPLACE(J314,16,3,C12),"")</f>
        <v/>
      </c>
    </row>
    <row r="315" spans="10:11" x14ac:dyDescent="0.25">
      <c r="J315" t="s">
        <v>1118</v>
      </c>
      <c r="K315" t="str">
        <f>IF(C13&gt;0,REPLACE(J315,17,4,C13),"")</f>
        <v/>
      </c>
    </row>
    <row r="316" spans="10:11" x14ac:dyDescent="0.25">
      <c r="J316" t="s">
        <v>1119</v>
      </c>
      <c r="K316" t="str">
        <f>IF(C14&gt;0,REPLACE(J316,17,4,C14),"")</f>
        <v/>
      </c>
    </row>
    <row r="317" spans="10:11" x14ac:dyDescent="0.25">
      <c r="J317" t="s">
        <v>1120</v>
      </c>
      <c r="K317" t="str">
        <f>IF(C15&gt;0,REPLACE(J317,17,4,C15),"")</f>
        <v/>
      </c>
    </row>
    <row r="318" spans="10:11" x14ac:dyDescent="0.25">
      <c r="J318" t="s">
        <v>1121</v>
      </c>
      <c r="K318" t="str">
        <f>IF(C16&gt;0,REPLACE(J318,17,4,C16),"")</f>
        <v/>
      </c>
    </row>
    <row r="319" spans="10:11" x14ac:dyDescent="0.25">
      <c r="J319" t="s">
        <v>1122</v>
      </c>
      <c r="K319" t="str">
        <f>IF(C17&gt;0,REPLACE(J319,17,4,C17),"")</f>
        <v/>
      </c>
    </row>
    <row r="320" spans="10:11" x14ac:dyDescent="0.25">
      <c r="J320" t="s">
        <v>1123</v>
      </c>
      <c r="K320" t="str">
        <f>IF(C18&gt;0,REPLACE(J320,17,4,C18),"")</f>
        <v/>
      </c>
    </row>
    <row r="321" spans="10:11" x14ac:dyDescent="0.25">
      <c r="J321" t="s">
        <v>1124</v>
      </c>
      <c r="K321" t="str">
        <f>REPLACE(IF(D2&gt;0,REPLACE(J321,61,8,D2),""),28,3,I2)</f>
        <v>&lt;em&gt;5.7.1.4. United States ABC Market Size and Forecast, by DD (2024-2032)&lt;/em&gt;</v>
      </c>
    </row>
    <row r="322" spans="10:11" x14ac:dyDescent="0.25">
      <c r="J322" t="s">
        <v>1125</v>
      </c>
      <c r="K322" t="str">
        <f>IF(D4&gt;0,REPLACE(J322,16,3,D4),"")</f>
        <v/>
      </c>
    </row>
    <row r="323" spans="10:11" x14ac:dyDescent="0.25">
      <c r="J323" t="s">
        <v>1126</v>
      </c>
      <c r="K323" t="str">
        <f>IF(D5&gt;0,REPLACE(J323,16,3,D5),"")</f>
        <v/>
      </c>
    </row>
    <row r="324" spans="10:11" x14ac:dyDescent="0.25">
      <c r="J324" t="s">
        <v>1127</v>
      </c>
      <c r="K324" t="str">
        <f>IF(D6&gt;0,REPLACE(J324,16,3,D6),"")</f>
        <v/>
      </c>
    </row>
    <row r="325" spans="10:11" x14ac:dyDescent="0.25">
      <c r="J325" t="s">
        <v>1128</v>
      </c>
      <c r="K325" t="str">
        <f>IF(D7&gt;0,REPLACE(J325,16,3,D7),"")</f>
        <v/>
      </c>
    </row>
    <row r="326" spans="10:11" x14ac:dyDescent="0.25">
      <c r="J326" t="s">
        <v>1129</v>
      </c>
      <c r="K326" t="str">
        <f>IF(D8&gt;0,REPLACE(J326,16,3,D8),"")</f>
        <v/>
      </c>
    </row>
    <row r="327" spans="10:11" x14ac:dyDescent="0.25">
      <c r="J327" t="s">
        <v>1130</v>
      </c>
      <c r="K327" t="str">
        <f>IF(D9&gt;0,REPLACE(J327,16,3,D9),"")</f>
        <v/>
      </c>
    </row>
    <row r="328" spans="10:11" x14ac:dyDescent="0.25">
      <c r="J328" t="s">
        <v>1131</v>
      </c>
      <c r="K328" t="str">
        <f>IF(D10&gt;0,REPLACE(J328,16,3,D10),"")</f>
        <v/>
      </c>
    </row>
    <row r="329" spans="10:11" x14ac:dyDescent="0.25">
      <c r="J329" t="s">
        <v>1132</v>
      </c>
      <c r="K329" t="str">
        <f>IF(D11&gt;0,REPLACE(J329,16,3,D11),"")</f>
        <v/>
      </c>
    </row>
    <row r="330" spans="10:11" x14ac:dyDescent="0.25">
      <c r="J330" t="s">
        <v>1133</v>
      </c>
      <c r="K330" t="str">
        <f>IF(D12&gt;0,REPLACE(J330,16,3,D12),"")</f>
        <v/>
      </c>
    </row>
    <row r="331" spans="10:11" x14ac:dyDescent="0.25">
      <c r="J331" t="s">
        <v>1134</v>
      </c>
      <c r="K331" t="str">
        <f>IF(D13&gt;0,REPLACE(J331,17,4,D13),"")</f>
        <v/>
      </c>
    </row>
    <row r="332" spans="10:11" x14ac:dyDescent="0.25">
      <c r="J332" t="s">
        <v>1135</v>
      </c>
      <c r="K332" t="str">
        <f>IF(D14&gt;0,REPLACE(J332,17,4,D14),"")</f>
        <v/>
      </c>
    </row>
    <row r="333" spans="10:11" x14ac:dyDescent="0.25">
      <c r="J333" t="s">
        <v>1136</v>
      </c>
      <c r="K333" t="str">
        <f>IF(D15&gt;0,REPLACE(J333,17,4,D15),"")</f>
        <v/>
      </c>
    </row>
    <row r="334" spans="10:11" x14ac:dyDescent="0.25">
      <c r="J334" t="s">
        <v>1137</v>
      </c>
      <c r="K334" t="str">
        <f>IF(D16&gt;0,REPLACE(J334,17,4,D16),"")</f>
        <v/>
      </c>
    </row>
    <row r="335" spans="10:11" x14ac:dyDescent="0.25">
      <c r="J335" t="s">
        <v>1138</v>
      </c>
      <c r="K335" t="str">
        <f>IF(D17&gt;0,REPLACE(J335,17,4,D17),"")</f>
        <v/>
      </c>
    </row>
    <row r="336" spans="10:11" x14ac:dyDescent="0.25">
      <c r="J336" t="s">
        <v>1139</v>
      </c>
      <c r="K336" t="str">
        <f>IF(D18&gt;0,REPLACE(J336,17,4,D18),"")</f>
        <v/>
      </c>
    </row>
    <row r="337" spans="10:11" x14ac:dyDescent="0.25">
      <c r="J337" t="s">
        <v>1140</v>
      </c>
      <c r="K337" t="str">
        <f>REPLACE(IF(E2&gt;0,REPLACE(J337,61,8,E2),""),28,3,I2)</f>
        <v>&lt;em&gt;5.7.1.5. United States ABC Market Size and Forecast, by EE (2024-2032)&lt;/em&gt;</v>
      </c>
    </row>
    <row r="338" spans="10:11" x14ac:dyDescent="0.25">
      <c r="J338" t="s">
        <v>1141</v>
      </c>
      <c r="K338" t="str">
        <f>IF(E4&gt;0,REPLACE(J338,16,3,E4),"")</f>
        <v/>
      </c>
    </row>
    <row r="339" spans="10:11" x14ac:dyDescent="0.25">
      <c r="J339" t="s">
        <v>1142</v>
      </c>
      <c r="K339" t="str">
        <f>IF(E5&gt;0,REPLACE(J339,16,3,E5),"")</f>
        <v/>
      </c>
    </row>
    <row r="340" spans="10:11" x14ac:dyDescent="0.25">
      <c r="J340" t="s">
        <v>1143</v>
      </c>
      <c r="K340" t="str">
        <f>IF(E6&gt;0,REPLACE(J340,16,3,E6),"")</f>
        <v/>
      </c>
    </row>
    <row r="341" spans="10:11" x14ac:dyDescent="0.25">
      <c r="J341" t="s">
        <v>1144</v>
      </c>
      <c r="K341" t="str">
        <f>IF(E7&gt;0,REPLACE(J341,16,3,E7),"")</f>
        <v/>
      </c>
    </row>
    <row r="342" spans="10:11" x14ac:dyDescent="0.25">
      <c r="J342" t="s">
        <v>1145</v>
      </c>
      <c r="K342" t="str">
        <f>IF(E8&gt;0,REPLACE(J342,16,3,E8),"")</f>
        <v/>
      </c>
    </row>
    <row r="343" spans="10:11" x14ac:dyDescent="0.25">
      <c r="J343" t="s">
        <v>1146</v>
      </c>
      <c r="K343" t="str">
        <f>IF(E9&gt;0,REPLACE(J343,16,3,E9),"")</f>
        <v/>
      </c>
    </row>
    <row r="344" spans="10:11" x14ac:dyDescent="0.25">
      <c r="J344" t="s">
        <v>1147</v>
      </c>
      <c r="K344" t="str">
        <f>IF(E10&gt;0,REPLACE(J344,16,3,E10),"")</f>
        <v/>
      </c>
    </row>
    <row r="345" spans="10:11" x14ac:dyDescent="0.25">
      <c r="J345" t="s">
        <v>1148</v>
      </c>
      <c r="K345" t="str">
        <f>IF(E11&gt;0,REPLACE(J345,16,3,E11),"")</f>
        <v/>
      </c>
    </row>
    <row r="346" spans="10:11" x14ac:dyDescent="0.25">
      <c r="J346" t="s">
        <v>1149</v>
      </c>
      <c r="K346" t="str">
        <f>IF(E12&gt;0,REPLACE(J346,16,3,E12),"")</f>
        <v/>
      </c>
    </row>
    <row r="347" spans="10:11" x14ac:dyDescent="0.25">
      <c r="J347" t="s">
        <v>1150</v>
      </c>
      <c r="K347" t="str">
        <f>IF(E13&gt;0,REPLACE(J347,17,4,E13),"")</f>
        <v/>
      </c>
    </row>
    <row r="348" spans="10:11" x14ac:dyDescent="0.25">
      <c r="J348" t="s">
        <v>1151</v>
      </c>
      <c r="K348" t="str">
        <f>IF(E14&gt;0,REPLACE(J348,17,4,E14),"")</f>
        <v/>
      </c>
    </row>
    <row r="349" spans="10:11" x14ac:dyDescent="0.25">
      <c r="J349" t="s">
        <v>1152</v>
      </c>
      <c r="K349" t="str">
        <f>IF(E15&gt;0,REPLACE(J349,17,4,E15),"")</f>
        <v/>
      </c>
    </row>
    <row r="350" spans="10:11" x14ac:dyDescent="0.25">
      <c r="J350" t="s">
        <v>1153</v>
      </c>
      <c r="K350" t="str">
        <f>IF(E16&gt;0,REPLACE(J350,17,4,E16),"")</f>
        <v/>
      </c>
    </row>
    <row r="351" spans="10:11" x14ac:dyDescent="0.25">
      <c r="J351" t="s">
        <v>1154</v>
      </c>
      <c r="K351" t="str">
        <f>IF(E17&gt;0,REPLACE(J351,17,4,E17),"")</f>
        <v/>
      </c>
    </row>
    <row r="352" spans="10:11" x14ac:dyDescent="0.25">
      <c r="J352" t="s">
        <v>1155</v>
      </c>
      <c r="K352" t="str">
        <f>IF(E18&gt;0,REPLACE(J352,17,4,E18),"")</f>
        <v/>
      </c>
    </row>
    <row r="353" spans="10:11" x14ac:dyDescent="0.25">
      <c r="J353" t="s">
        <v>1156</v>
      </c>
      <c r="K353" t="str">
        <f>REPLACE(IF(F2&gt;0,REPLACE(J353,61,8,F2),""),28,3,I2)</f>
        <v>&lt;em&gt;5.7.1.6. United States ABC Market Size and Forecast, by FF (2024-2032)&lt;/em&gt;</v>
      </c>
    </row>
    <row r="354" spans="10:11" x14ac:dyDescent="0.25">
      <c r="J354" t="s">
        <v>1157</v>
      </c>
      <c r="K354" t="str">
        <f>IF(F4&gt;0,REPLACE(J354,16,3,F4),"")</f>
        <v/>
      </c>
    </row>
    <row r="355" spans="10:11" x14ac:dyDescent="0.25">
      <c r="J355" t="s">
        <v>1158</v>
      </c>
      <c r="K355" t="str">
        <f>IF(F5&gt;0,REPLACE(J355,16,3,F5),"")</f>
        <v/>
      </c>
    </row>
    <row r="356" spans="10:11" x14ac:dyDescent="0.25">
      <c r="J356" t="s">
        <v>1159</v>
      </c>
      <c r="K356" t="str">
        <f>IF(F6&gt;0,REPLACE(J356,16,3,F6),"")</f>
        <v/>
      </c>
    </row>
    <row r="357" spans="10:11" x14ac:dyDescent="0.25">
      <c r="J357" t="s">
        <v>1160</v>
      </c>
      <c r="K357" t="str">
        <f>IF(F7&gt;0,REPLACE(J357,16,3,F7),"")</f>
        <v/>
      </c>
    </row>
    <row r="358" spans="10:11" x14ac:dyDescent="0.25">
      <c r="J358" t="s">
        <v>1161</v>
      </c>
      <c r="K358" t="str">
        <f>IF(F8&gt;0,REPLACE(J358,16,3,F8),"")</f>
        <v/>
      </c>
    </row>
    <row r="359" spans="10:11" x14ac:dyDescent="0.25">
      <c r="J359" t="s">
        <v>1162</v>
      </c>
      <c r="K359" t="str">
        <f>IF(F9&gt;0,REPLACE(J359,16,3,F9),"")</f>
        <v/>
      </c>
    </row>
    <row r="360" spans="10:11" x14ac:dyDescent="0.25">
      <c r="J360" t="s">
        <v>1163</v>
      </c>
      <c r="K360" t="str">
        <f>IF(F10&gt;0,REPLACE(J360,16,3,F10),"")</f>
        <v/>
      </c>
    </row>
    <row r="361" spans="10:11" x14ac:dyDescent="0.25">
      <c r="J361" t="s">
        <v>1164</v>
      </c>
      <c r="K361" t="str">
        <f>IF(F11&gt;0,REPLACE(J361,16,3,F11),"")</f>
        <v/>
      </c>
    </row>
    <row r="362" spans="10:11" x14ac:dyDescent="0.25">
      <c r="J362" t="s">
        <v>1165</v>
      </c>
      <c r="K362" t="str">
        <f>IF(F12&gt;0,REPLACE(J362,16,3,F12),"")</f>
        <v/>
      </c>
    </row>
    <row r="363" spans="10:11" x14ac:dyDescent="0.25">
      <c r="J363" t="s">
        <v>1166</v>
      </c>
      <c r="K363" t="str">
        <f>IF(F13&gt;0,REPLACE(J363,17,4,F13),"")</f>
        <v/>
      </c>
    </row>
    <row r="364" spans="10:11" x14ac:dyDescent="0.25">
      <c r="J364" t="s">
        <v>1167</v>
      </c>
      <c r="K364" t="str">
        <f>IF(F14&gt;0,REPLACE(J364,17,4,F14),"")</f>
        <v/>
      </c>
    </row>
    <row r="365" spans="10:11" x14ac:dyDescent="0.25">
      <c r="J365" t="s">
        <v>1168</v>
      </c>
      <c r="K365" t="str">
        <f>IF(F15&gt;0,REPLACE(J365,17,4,F15),"")</f>
        <v/>
      </c>
    </row>
    <row r="366" spans="10:11" x14ac:dyDescent="0.25">
      <c r="J366" t="s">
        <v>1169</v>
      </c>
      <c r="K366" t="str">
        <f>IF(F16&gt;0,REPLACE(J366,17,4,F16),"")</f>
        <v/>
      </c>
    </row>
    <row r="367" spans="10:11" x14ac:dyDescent="0.25">
      <c r="J367" t="s">
        <v>1170</v>
      </c>
      <c r="K367" t="str">
        <f>IF(F17&gt;0,REPLACE(J367,17,4,F17),"")</f>
        <v/>
      </c>
    </row>
    <row r="368" spans="10:11" x14ac:dyDescent="0.25">
      <c r="J368" t="s">
        <v>1171</v>
      </c>
      <c r="K368" t="str">
        <f>IF(F18&gt;0,REPLACE(J368,17,4,F18),"")</f>
        <v/>
      </c>
    </row>
    <row r="369" spans="10:11" x14ac:dyDescent="0.25">
      <c r="J369" t="s">
        <v>1172</v>
      </c>
      <c r="K369" t="str">
        <f>J369</f>
        <v>&lt;strong&gt;&lt;em&gt;5.7.2. Canada&lt;/em&gt;&lt;/strong&gt;</v>
      </c>
    </row>
    <row r="370" spans="10:11" x14ac:dyDescent="0.25">
      <c r="J370" t="s">
        <v>1173</v>
      </c>
      <c r="K370" t="str">
        <f>REPLACE(IF(A2&gt;0,REPLACE(J370,54,8,A2),""),21,3,I2)</f>
        <v>&lt;em&gt;5.7.2.1. Canada ABC Market Size and Forecast, by AA (2024-2032)&lt;/em&gt;</v>
      </c>
    </row>
    <row r="371" spans="10:11" x14ac:dyDescent="0.25">
      <c r="J371" t="s">
        <v>1174</v>
      </c>
      <c r="K371" t="str">
        <f>IF(A4&gt;0,REPLACE(J371,16,3,A4),"")</f>
        <v/>
      </c>
    </row>
    <row r="372" spans="10:11" x14ac:dyDescent="0.25">
      <c r="J372" t="s">
        <v>1175</v>
      </c>
      <c r="K372" t="str">
        <f>IF(A5&gt;0,REPLACE(J372,16,3,A5),"")</f>
        <v/>
      </c>
    </row>
    <row r="373" spans="10:11" x14ac:dyDescent="0.25">
      <c r="J373" t="s">
        <v>1176</v>
      </c>
      <c r="K373" t="str">
        <f>IF(A6&gt;0,REPLACE(J373,16,3,A6),"")</f>
        <v/>
      </c>
    </row>
    <row r="374" spans="10:11" x14ac:dyDescent="0.25">
      <c r="J374" t="s">
        <v>1177</v>
      </c>
      <c r="K374" t="str">
        <f>IF(A7&gt;0,REPLACE(J374,16,3,A7),"")</f>
        <v/>
      </c>
    </row>
    <row r="375" spans="10:11" x14ac:dyDescent="0.25">
      <c r="J375" t="s">
        <v>1178</v>
      </c>
      <c r="K375" t="str">
        <f>IF(A8&gt;0,REPLACE(J375,16,3,A8),"")</f>
        <v/>
      </c>
    </row>
    <row r="376" spans="10:11" x14ac:dyDescent="0.25">
      <c r="J376" t="s">
        <v>1179</v>
      </c>
      <c r="K376" t="str">
        <f>IF(A9&gt;0,REPLACE(J376,16,3,A9),"")</f>
        <v/>
      </c>
    </row>
    <row r="377" spans="10:11" x14ac:dyDescent="0.25">
      <c r="J377" t="s">
        <v>1180</v>
      </c>
      <c r="K377" t="str">
        <f>IF(A10&gt;0,REPLACE(J377,16,3,A10),"")</f>
        <v/>
      </c>
    </row>
    <row r="378" spans="10:11" x14ac:dyDescent="0.25">
      <c r="J378" t="s">
        <v>1181</v>
      </c>
      <c r="K378" t="str">
        <f>IF(A11&gt;0,REPLACE(J378,16,3,A11),"")</f>
        <v/>
      </c>
    </row>
    <row r="379" spans="10:11" x14ac:dyDescent="0.25">
      <c r="J379" t="s">
        <v>1182</v>
      </c>
      <c r="K379" t="str">
        <f>IF(A12&gt;0,REPLACE(J379,16,3,A12),"")</f>
        <v/>
      </c>
    </row>
    <row r="380" spans="10:11" x14ac:dyDescent="0.25">
      <c r="J380" t="s">
        <v>1183</v>
      </c>
      <c r="K380" t="str">
        <f>IF(A13&gt;0,REPLACE(J380,17,4,A13),"")</f>
        <v/>
      </c>
    </row>
    <row r="381" spans="10:11" x14ac:dyDescent="0.25">
      <c r="J381" t="s">
        <v>1184</v>
      </c>
      <c r="K381" t="str">
        <f>IF(A14&gt;0,REPLACE(J381,17,4,A14),"")</f>
        <v/>
      </c>
    </row>
    <row r="382" spans="10:11" x14ac:dyDescent="0.25">
      <c r="J382" t="s">
        <v>1185</v>
      </c>
      <c r="K382" t="str">
        <f>IF(A15&gt;0,REPLACE(J382,17,4,A15),"")</f>
        <v/>
      </c>
    </row>
    <row r="383" spans="10:11" x14ac:dyDescent="0.25">
      <c r="J383" t="s">
        <v>1186</v>
      </c>
      <c r="K383" t="str">
        <f>IF(A16&gt;0,REPLACE(J383,17,4,A16),"")</f>
        <v/>
      </c>
    </row>
    <row r="384" spans="10:11" x14ac:dyDescent="0.25">
      <c r="J384" t="s">
        <v>1187</v>
      </c>
      <c r="K384" t="str">
        <f>IF(A17&gt;0,REPLACE(J384,17,4,A17),"")</f>
        <v/>
      </c>
    </row>
    <row r="385" spans="10:11" x14ac:dyDescent="0.25">
      <c r="J385" t="s">
        <v>1188</v>
      </c>
      <c r="K385" t="str">
        <f>IF(A18&gt;0,REPLACE(J385,17,4,A18),"")</f>
        <v/>
      </c>
    </row>
    <row r="386" spans="10:11" x14ac:dyDescent="0.25">
      <c r="J386" t="s">
        <v>1189</v>
      </c>
      <c r="K386" t="str">
        <f>REPLACE(IF(B2&gt;0,REPLACE(J386,54,8,B2),""),21,3,I2)</f>
        <v>&lt;em&gt;5.7.2.2. Canada ABC Market Size and Forecast, by BB (2024-2032)&lt;/em&gt;</v>
      </c>
    </row>
    <row r="387" spans="10:11" x14ac:dyDescent="0.25">
      <c r="J387" t="s">
        <v>1190</v>
      </c>
      <c r="K387" t="str">
        <f>IF(B4&gt;0,REPLACE(J387,16,3,B4),"")</f>
        <v/>
      </c>
    </row>
    <row r="388" spans="10:11" x14ac:dyDescent="0.25">
      <c r="J388" t="s">
        <v>1191</v>
      </c>
      <c r="K388" t="str">
        <f>IF(B5&gt;0,REPLACE(J388,16,3,B5),"")</f>
        <v/>
      </c>
    </row>
    <row r="389" spans="10:11" x14ac:dyDescent="0.25">
      <c r="J389" t="s">
        <v>1192</v>
      </c>
      <c r="K389" t="str">
        <f>IF(B6&gt;0,REPLACE(J389,16,3,B6),"")</f>
        <v/>
      </c>
    </row>
    <row r="390" spans="10:11" x14ac:dyDescent="0.25">
      <c r="J390" t="s">
        <v>1193</v>
      </c>
      <c r="K390" t="str">
        <f>IF(B7&gt;0,REPLACE(J390,16,3,B7),"")</f>
        <v/>
      </c>
    </row>
    <row r="391" spans="10:11" x14ac:dyDescent="0.25">
      <c r="J391" t="s">
        <v>1194</v>
      </c>
      <c r="K391" t="str">
        <f>IF(B8&gt;0,REPLACE(J391,16,3,B8),"")</f>
        <v/>
      </c>
    </row>
    <row r="392" spans="10:11" x14ac:dyDescent="0.25">
      <c r="J392" t="s">
        <v>1195</v>
      </c>
      <c r="K392" t="str">
        <f>IF(B9&gt;0,REPLACE(J392,16,3,B9),"")</f>
        <v/>
      </c>
    </row>
    <row r="393" spans="10:11" x14ac:dyDescent="0.25">
      <c r="J393" t="s">
        <v>1196</v>
      </c>
      <c r="K393" t="str">
        <f>IF(B10&gt;0,REPLACE(J393,16,3,B10),"")</f>
        <v/>
      </c>
    </row>
    <row r="394" spans="10:11" x14ac:dyDescent="0.25">
      <c r="J394" t="s">
        <v>1197</v>
      </c>
      <c r="K394" t="str">
        <f>IF(B11&gt;0,REPLACE(J394,16,3,B11),"")</f>
        <v/>
      </c>
    </row>
    <row r="395" spans="10:11" x14ac:dyDescent="0.25">
      <c r="J395" t="s">
        <v>1198</v>
      </c>
      <c r="K395" t="str">
        <f>IF(B12&gt;0,REPLACE(J395,16,3,B12),"")</f>
        <v/>
      </c>
    </row>
    <row r="396" spans="10:11" x14ac:dyDescent="0.25">
      <c r="J396" t="s">
        <v>1199</v>
      </c>
      <c r="K396" t="str">
        <f>IF(B13&gt;0,REPLACE(J396,17,4,B13),"")</f>
        <v/>
      </c>
    </row>
    <row r="397" spans="10:11" x14ac:dyDescent="0.25">
      <c r="J397" t="s">
        <v>1200</v>
      </c>
      <c r="K397" t="str">
        <f>IF(B14&gt;0,REPLACE(J397,17,4,B14),"")</f>
        <v/>
      </c>
    </row>
    <row r="398" spans="10:11" x14ac:dyDescent="0.25">
      <c r="J398" t="s">
        <v>1201</v>
      </c>
      <c r="K398" t="str">
        <f>IF(B15&gt;0,REPLACE(J398,17,4,B15),"")</f>
        <v/>
      </c>
    </row>
    <row r="399" spans="10:11" x14ac:dyDescent="0.25">
      <c r="J399" t="s">
        <v>1202</v>
      </c>
      <c r="K399" t="str">
        <f>IF(B16&gt;0,REPLACE(J399,17,4,B16),"")</f>
        <v/>
      </c>
    </row>
    <row r="400" spans="10:11" x14ac:dyDescent="0.25">
      <c r="J400" t="s">
        <v>1203</v>
      </c>
      <c r="K400" t="str">
        <f>IF(B17&gt;0,REPLACE(J400,17,4,B17),"")</f>
        <v/>
      </c>
    </row>
    <row r="401" spans="10:11" x14ac:dyDescent="0.25">
      <c r="J401" t="s">
        <v>1204</v>
      </c>
      <c r="K401" t="str">
        <f>IF(B18&gt;0,REPLACE(J401,17,4,B18),"")</f>
        <v/>
      </c>
    </row>
    <row r="402" spans="10:11" x14ac:dyDescent="0.25">
      <c r="J402" t="s">
        <v>1205</v>
      </c>
      <c r="K402" t="str">
        <f>REPLACE(IF(C2&gt;0,REPLACE(J402,54,8,C2),""),21,3,I2)</f>
        <v>&lt;em&gt;5.7.2.3. Canada ABC Market Size and Forecast, by CC (2024-2032)&lt;/em&gt;</v>
      </c>
    </row>
    <row r="403" spans="10:11" x14ac:dyDescent="0.25">
      <c r="J403" t="s">
        <v>1206</v>
      </c>
      <c r="K403" t="str">
        <f>IF(C4&gt;0,REPLACE(J403,16,3,C4),"")</f>
        <v/>
      </c>
    </row>
    <row r="404" spans="10:11" x14ac:dyDescent="0.25">
      <c r="J404" t="s">
        <v>1207</v>
      </c>
      <c r="K404" t="str">
        <f>IF(C5&gt;0,REPLACE(J404,16,3,C5),"")</f>
        <v/>
      </c>
    </row>
    <row r="405" spans="10:11" x14ac:dyDescent="0.25">
      <c r="J405" t="s">
        <v>1208</v>
      </c>
      <c r="K405" t="str">
        <f>IF(C6&gt;0,REPLACE(J405,16,3,C6),"")</f>
        <v/>
      </c>
    </row>
    <row r="406" spans="10:11" x14ac:dyDescent="0.25">
      <c r="J406" t="s">
        <v>1209</v>
      </c>
      <c r="K406" t="str">
        <f>IF(C7&gt;0,REPLACE(J406,16,3,C7),"")</f>
        <v/>
      </c>
    </row>
    <row r="407" spans="10:11" x14ac:dyDescent="0.25">
      <c r="J407" t="s">
        <v>1210</v>
      </c>
      <c r="K407" t="str">
        <f>IF(C8&gt;0,REPLACE(J407,16,3,C8),"")</f>
        <v/>
      </c>
    </row>
    <row r="408" spans="10:11" x14ac:dyDescent="0.25">
      <c r="J408" t="s">
        <v>1211</v>
      </c>
      <c r="K408" t="str">
        <f>IF(C9&gt;0,REPLACE(J408,16,3,C9),"")</f>
        <v/>
      </c>
    </row>
    <row r="409" spans="10:11" x14ac:dyDescent="0.25">
      <c r="J409" t="s">
        <v>1212</v>
      </c>
      <c r="K409" t="str">
        <f>IF(C10&gt;0,REPLACE(J409,16,3,C10),"")</f>
        <v/>
      </c>
    </row>
    <row r="410" spans="10:11" x14ac:dyDescent="0.25">
      <c r="J410" t="s">
        <v>1213</v>
      </c>
      <c r="K410" t="str">
        <f>IF(C11&gt;0,REPLACE(J410,16,3,C11),"")</f>
        <v/>
      </c>
    </row>
    <row r="411" spans="10:11" x14ac:dyDescent="0.25">
      <c r="J411" t="s">
        <v>1214</v>
      </c>
      <c r="K411" t="str">
        <f>IF(C12&gt;0,REPLACE(J411,16,3,C12),"")</f>
        <v/>
      </c>
    </row>
    <row r="412" spans="10:11" x14ac:dyDescent="0.25">
      <c r="J412" t="s">
        <v>1215</v>
      </c>
      <c r="K412" t="str">
        <f>IF(C13&gt;0,REPLACE(J412,17,4,C13),"")</f>
        <v/>
      </c>
    </row>
    <row r="413" spans="10:11" x14ac:dyDescent="0.25">
      <c r="J413" t="s">
        <v>1216</v>
      </c>
      <c r="K413" t="str">
        <f>IF(C14&gt;0,REPLACE(J413,17,4,C14),"")</f>
        <v/>
      </c>
    </row>
    <row r="414" spans="10:11" x14ac:dyDescent="0.25">
      <c r="J414" t="s">
        <v>1217</v>
      </c>
      <c r="K414" t="str">
        <f>IF(C15&gt;0,REPLACE(J414,17,4,C15),"")</f>
        <v/>
      </c>
    </row>
    <row r="415" spans="10:11" x14ac:dyDescent="0.25">
      <c r="J415" t="s">
        <v>1218</v>
      </c>
      <c r="K415" t="str">
        <f>IF(C16&gt;0,REPLACE(J415,17,4,C16),"")</f>
        <v/>
      </c>
    </row>
    <row r="416" spans="10:11" x14ac:dyDescent="0.25">
      <c r="J416" t="s">
        <v>1219</v>
      </c>
      <c r="K416" t="str">
        <f>IF(C17&gt;0,REPLACE(J416,17,4,C17),"")</f>
        <v/>
      </c>
    </row>
    <row r="417" spans="10:11" x14ac:dyDescent="0.25">
      <c r="J417" t="s">
        <v>1220</v>
      </c>
      <c r="K417" t="str">
        <f>IF(C18&gt;0,REPLACE(J417,17,4,C18),"")</f>
        <v/>
      </c>
    </row>
    <row r="418" spans="10:11" x14ac:dyDescent="0.25">
      <c r="J418" t="s">
        <v>1221</v>
      </c>
      <c r="K418" t="str">
        <f>REPLACE(IF(D2&gt;0,REPLACE(J418,54,8,D2),""),21,3,I2)</f>
        <v>&lt;em&gt;5.7.2.4. Canada ABC Market Size and Forecast, by DD (2024-2032)&lt;/em&gt;</v>
      </c>
    </row>
    <row r="419" spans="10:11" x14ac:dyDescent="0.25">
      <c r="J419" t="s">
        <v>1222</v>
      </c>
      <c r="K419" t="str">
        <f>IF(D4&gt;0,REPLACE(J419,16,3,D4),"")</f>
        <v/>
      </c>
    </row>
    <row r="420" spans="10:11" x14ac:dyDescent="0.25">
      <c r="J420" t="s">
        <v>1223</v>
      </c>
      <c r="K420" t="str">
        <f>IF(D5&gt;0,REPLACE(J420,16,3,D5),"")</f>
        <v/>
      </c>
    </row>
    <row r="421" spans="10:11" x14ac:dyDescent="0.25">
      <c r="J421" t="s">
        <v>1224</v>
      </c>
      <c r="K421" t="str">
        <f>IF(D6&gt;0,REPLACE(J421,16,3,D6),"")</f>
        <v/>
      </c>
    </row>
    <row r="422" spans="10:11" x14ac:dyDescent="0.25">
      <c r="J422" t="s">
        <v>1225</v>
      </c>
      <c r="K422" t="str">
        <f>IF(D7&gt;0,REPLACE(J422,16,3,D7),"")</f>
        <v/>
      </c>
    </row>
    <row r="423" spans="10:11" x14ac:dyDescent="0.25">
      <c r="J423" t="s">
        <v>1226</v>
      </c>
      <c r="K423" t="str">
        <f>IF(D8&gt;0,REPLACE(J423,16,3,D8),"")</f>
        <v/>
      </c>
    </row>
    <row r="424" spans="10:11" x14ac:dyDescent="0.25">
      <c r="J424" t="s">
        <v>1227</v>
      </c>
      <c r="K424" t="str">
        <f>IF(D9&gt;0,REPLACE(J424,16,3,D9),"")</f>
        <v/>
      </c>
    </row>
    <row r="425" spans="10:11" x14ac:dyDescent="0.25">
      <c r="J425" t="s">
        <v>1228</v>
      </c>
      <c r="K425" t="str">
        <f>IF(D10&gt;0,REPLACE(J425,16,3,D10),"")</f>
        <v/>
      </c>
    </row>
    <row r="426" spans="10:11" x14ac:dyDescent="0.25">
      <c r="J426" t="s">
        <v>1229</v>
      </c>
      <c r="K426" t="str">
        <f>IF(D11&gt;0,REPLACE(J426,16,3,D11),"")</f>
        <v/>
      </c>
    </row>
    <row r="427" spans="10:11" x14ac:dyDescent="0.25">
      <c r="J427" t="s">
        <v>1230</v>
      </c>
      <c r="K427" t="str">
        <f>IF(D12&gt;0,REPLACE(J427,16,3,D12),"")</f>
        <v/>
      </c>
    </row>
    <row r="428" spans="10:11" x14ac:dyDescent="0.25">
      <c r="J428" t="s">
        <v>1231</v>
      </c>
      <c r="K428" t="str">
        <f>IF(D13&gt;0,REPLACE(J428,17,4,D13),"")</f>
        <v/>
      </c>
    </row>
    <row r="429" spans="10:11" x14ac:dyDescent="0.25">
      <c r="J429" t="s">
        <v>1232</v>
      </c>
      <c r="K429" t="str">
        <f>IF(D14&gt;0,REPLACE(J429,17,4,D14),"")</f>
        <v/>
      </c>
    </row>
    <row r="430" spans="10:11" x14ac:dyDescent="0.25">
      <c r="J430" t="s">
        <v>1233</v>
      </c>
      <c r="K430" t="str">
        <f>IF(D15&gt;0,REPLACE(J430,17,4,D15),"")</f>
        <v/>
      </c>
    </row>
    <row r="431" spans="10:11" x14ac:dyDescent="0.25">
      <c r="J431" t="s">
        <v>1234</v>
      </c>
      <c r="K431" t="str">
        <f>IF(D16&gt;0,REPLACE(J431,17,4,D16),"")</f>
        <v/>
      </c>
    </row>
    <row r="432" spans="10:11" x14ac:dyDescent="0.25">
      <c r="J432" t="s">
        <v>1235</v>
      </c>
      <c r="K432" t="str">
        <f>IF(D17&gt;0,REPLACE(J432,17,4,D17),"")</f>
        <v/>
      </c>
    </row>
    <row r="433" spans="10:11" x14ac:dyDescent="0.25">
      <c r="J433" t="s">
        <v>1236</v>
      </c>
      <c r="K433" t="str">
        <f>IF(D18&gt;0,REPLACE(J433,17,4,D18),"")</f>
        <v/>
      </c>
    </row>
    <row r="434" spans="10:11" x14ac:dyDescent="0.25">
      <c r="J434" t="s">
        <v>1237</v>
      </c>
      <c r="K434" t="str">
        <f>REPLACE(IF(E2&gt;0,REPLACE(J434,54,8,E2),""),21,3,I2)</f>
        <v>&lt;em&gt;5.7.2.5. Canada ABC Market Size and Forecast, by EE (2024-2032)&lt;/em&gt;</v>
      </c>
    </row>
    <row r="435" spans="10:11" x14ac:dyDescent="0.25">
      <c r="J435" t="s">
        <v>1238</v>
      </c>
      <c r="K435" t="str">
        <f>IF(E4&gt;0,REPLACE(J435,16,3,E4),"")</f>
        <v/>
      </c>
    </row>
    <row r="436" spans="10:11" x14ac:dyDescent="0.25">
      <c r="J436" t="s">
        <v>1239</v>
      </c>
      <c r="K436" t="str">
        <f>IF(E5&gt;0,REPLACE(J436,16,3,E5),"")</f>
        <v/>
      </c>
    </row>
    <row r="437" spans="10:11" x14ac:dyDescent="0.25">
      <c r="J437" t="s">
        <v>1240</v>
      </c>
      <c r="K437" t="str">
        <f>IF(E6&gt;0,REPLACE(J437,16,3,E6),"")</f>
        <v/>
      </c>
    </row>
    <row r="438" spans="10:11" x14ac:dyDescent="0.25">
      <c r="J438" t="s">
        <v>1241</v>
      </c>
      <c r="K438" t="str">
        <f>IF(E7&gt;0,REPLACE(J438,16,3,E7),"")</f>
        <v/>
      </c>
    </row>
    <row r="439" spans="10:11" x14ac:dyDescent="0.25">
      <c r="J439" t="s">
        <v>1242</v>
      </c>
      <c r="K439" t="str">
        <f>IF(E8&gt;0,REPLACE(J439,16,3,E8),"")</f>
        <v/>
      </c>
    </row>
    <row r="440" spans="10:11" x14ac:dyDescent="0.25">
      <c r="J440" t="s">
        <v>1243</v>
      </c>
      <c r="K440" t="str">
        <f>IF(E9&gt;0,REPLACE(J440,16,3,E9),"")</f>
        <v/>
      </c>
    </row>
    <row r="441" spans="10:11" x14ac:dyDescent="0.25">
      <c r="J441" t="s">
        <v>1244</v>
      </c>
      <c r="K441" t="str">
        <f>IF(E10&gt;0,REPLACE(J441,16,3,E10),"")</f>
        <v/>
      </c>
    </row>
    <row r="442" spans="10:11" x14ac:dyDescent="0.25">
      <c r="J442" t="s">
        <v>1245</v>
      </c>
      <c r="K442" t="str">
        <f>IF(E11&gt;0,REPLACE(J442,16,3,E11),"")</f>
        <v/>
      </c>
    </row>
    <row r="443" spans="10:11" x14ac:dyDescent="0.25">
      <c r="J443" t="s">
        <v>1246</v>
      </c>
      <c r="K443" t="str">
        <f>IF(E12&gt;0,REPLACE(J443,16,3,E12),"")</f>
        <v/>
      </c>
    </row>
    <row r="444" spans="10:11" x14ac:dyDescent="0.25">
      <c r="J444" t="s">
        <v>1247</v>
      </c>
      <c r="K444" t="str">
        <f>IF(E13&gt;0,REPLACE(J444,17,4,E13),"")</f>
        <v/>
      </c>
    </row>
    <row r="445" spans="10:11" x14ac:dyDescent="0.25">
      <c r="J445" t="s">
        <v>1248</v>
      </c>
      <c r="K445" t="str">
        <f>IF(E14&gt;0,REPLACE(J445,17,4,E14),"")</f>
        <v/>
      </c>
    </row>
    <row r="446" spans="10:11" x14ac:dyDescent="0.25">
      <c r="J446" t="s">
        <v>1249</v>
      </c>
      <c r="K446" t="str">
        <f>IF(E15&gt;0,REPLACE(J446,17,4,E15),"")</f>
        <v/>
      </c>
    </row>
    <row r="447" spans="10:11" x14ac:dyDescent="0.25">
      <c r="J447" t="s">
        <v>1250</v>
      </c>
      <c r="K447" t="str">
        <f>IF(E16&gt;0,REPLACE(J447,17,4,E16),"")</f>
        <v/>
      </c>
    </row>
    <row r="448" spans="10:11" x14ac:dyDescent="0.25">
      <c r="J448" t="s">
        <v>1251</v>
      </c>
      <c r="K448" t="str">
        <f>IF(E17&gt;0,REPLACE(J448,17,4,E17),"")</f>
        <v/>
      </c>
    </row>
    <row r="449" spans="10:11" x14ac:dyDescent="0.25">
      <c r="J449" t="s">
        <v>1252</v>
      </c>
      <c r="K449" t="str">
        <f>IF(E18&gt;0,REPLACE(J449,17,4,E18),"")</f>
        <v/>
      </c>
    </row>
    <row r="450" spans="10:11" x14ac:dyDescent="0.25">
      <c r="J450" t="s">
        <v>1253</v>
      </c>
      <c r="K450" t="str">
        <f>REPLACE(IF(F2&gt;0,REPLACE(J450,54,8,F2),""),21,3,I2)</f>
        <v>&lt;em&gt;5.7.2.6. Canada ABC Market Size and Forecast, by FF (2024-2032)&lt;/em&gt;</v>
      </c>
    </row>
    <row r="451" spans="10:11" x14ac:dyDescent="0.25">
      <c r="J451" t="s">
        <v>1254</v>
      </c>
      <c r="K451" t="str">
        <f>IF(F4&gt;0,REPLACE(J451,16,3,F4),"")</f>
        <v/>
      </c>
    </row>
    <row r="452" spans="10:11" x14ac:dyDescent="0.25">
      <c r="J452" t="s">
        <v>1255</v>
      </c>
      <c r="K452" t="str">
        <f>IF(F5&gt;0,REPLACE(J452,16,3,F5),"")</f>
        <v/>
      </c>
    </row>
    <row r="453" spans="10:11" x14ac:dyDescent="0.25">
      <c r="J453" t="s">
        <v>1256</v>
      </c>
      <c r="K453" t="str">
        <f>IF(F6&gt;0,REPLACE(J453,16,3,F6),"")</f>
        <v/>
      </c>
    </row>
    <row r="454" spans="10:11" x14ac:dyDescent="0.25">
      <c r="J454" t="s">
        <v>1257</v>
      </c>
      <c r="K454" t="str">
        <f>IF(F7&gt;0,REPLACE(J454,16,3,F7),"")</f>
        <v/>
      </c>
    </row>
    <row r="455" spans="10:11" x14ac:dyDescent="0.25">
      <c r="J455" t="s">
        <v>1258</v>
      </c>
      <c r="K455" t="str">
        <f>IF(F8&gt;0,REPLACE(J455,16,3,F8),"")</f>
        <v/>
      </c>
    </row>
    <row r="456" spans="10:11" x14ac:dyDescent="0.25">
      <c r="J456" t="s">
        <v>1259</v>
      </c>
      <c r="K456" t="str">
        <f>IF(F9&gt;0,REPLACE(J456,16,3,F9),"")</f>
        <v/>
      </c>
    </row>
    <row r="457" spans="10:11" x14ac:dyDescent="0.25">
      <c r="J457" t="s">
        <v>1260</v>
      </c>
      <c r="K457" t="str">
        <f>IF(F10&gt;0,REPLACE(J457,16,3,F10),"")</f>
        <v/>
      </c>
    </row>
    <row r="458" spans="10:11" x14ac:dyDescent="0.25">
      <c r="J458" t="s">
        <v>1261</v>
      </c>
      <c r="K458" t="str">
        <f>IF(F11&gt;0,REPLACE(J458,16,3,F11),"")</f>
        <v/>
      </c>
    </row>
    <row r="459" spans="10:11" x14ac:dyDescent="0.25">
      <c r="J459" t="s">
        <v>1262</v>
      </c>
      <c r="K459" t="str">
        <f>IF(F12&gt;0,REPLACE(J459,16,3,F12),"")</f>
        <v/>
      </c>
    </row>
    <row r="460" spans="10:11" x14ac:dyDescent="0.25">
      <c r="J460" t="s">
        <v>1263</v>
      </c>
      <c r="K460" t="str">
        <f>IF(F13&gt;0,REPLACE(J460,17,4,F13),"")</f>
        <v/>
      </c>
    </row>
    <row r="461" spans="10:11" x14ac:dyDescent="0.25">
      <c r="J461" t="s">
        <v>1264</v>
      </c>
      <c r="K461" t="str">
        <f>IF(F14&gt;0,REPLACE(J461,17,4,F14),"")</f>
        <v/>
      </c>
    </row>
    <row r="462" spans="10:11" x14ac:dyDescent="0.25">
      <c r="J462" t="s">
        <v>1265</v>
      </c>
      <c r="K462" t="str">
        <f>IF(F15&gt;0,REPLACE(J462,17,4,F15),"")</f>
        <v/>
      </c>
    </row>
    <row r="463" spans="10:11" x14ac:dyDescent="0.25">
      <c r="J463" t="s">
        <v>1266</v>
      </c>
      <c r="K463" t="str">
        <f>IF(F16&gt;0,REPLACE(J463,17,4,F16),"")</f>
        <v/>
      </c>
    </row>
    <row r="464" spans="10:11" ht="14.25" customHeight="1" x14ac:dyDescent="0.25">
      <c r="J464" t="s">
        <v>1267</v>
      </c>
      <c r="K464" t="str">
        <f>IF(F17&gt;0,REPLACE(J464,17,4,F17),"")</f>
        <v/>
      </c>
    </row>
    <row r="465" spans="10:11" x14ac:dyDescent="0.25">
      <c r="J465" t="s">
        <v>1268</v>
      </c>
      <c r="K465" t="str">
        <f>IF(F18&gt;0,REPLACE(J465,17,4,F18),"")</f>
        <v/>
      </c>
    </row>
    <row r="466" spans="10:11" x14ac:dyDescent="0.25">
      <c r="J466" t="s">
        <v>1269</v>
      </c>
      <c r="K466" t="str">
        <f>J466</f>
        <v>&lt;strong&gt;&lt;em&gt;5.7.3. Mexico&lt;/em&gt;&lt;/strong&gt;</v>
      </c>
    </row>
    <row r="467" spans="10:11" x14ac:dyDescent="0.25">
      <c r="J467" t="s">
        <v>1270</v>
      </c>
      <c r="K467" t="str">
        <f>REPLACE(IF(A2&gt;0,REPLACE(J467,54,8,A2),""),21,3,I2)</f>
        <v>&lt;em&gt;5.7.3.1. Mexico ABC Market Size and Forecast, by AA (2024-2032)&lt;/em&gt;</v>
      </c>
    </row>
    <row r="468" spans="10:11" x14ac:dyDescent="0.25">
      <c r="J468" t="s">
        <v>1271</v>
      </c>
      <c r="K468" t="str">
        <f>IF(A4&gt;0,REPLACE(J468,16,3,A4),"")</f>
        <v/>
      </c>
    </row>
    <row r="469" spans="10:11" x14ac:dyDescent="0.25">
      <c r="J469" t="s">
        <v>1272</v>
      </c>
      <c r="K469" t="str">
        <f>IF(A5&gt;0,REPLACE(J469,16,3,A5),"")</f>
        <v/>
      </c>
    </row>
    <row r="470" spans="10:11" x14ac:dyDescent="0.25">
      <c r="J470" t="s">
        <v>1273</v>
      </c>
      <c r="K470" t="str">
        <f>IF(A6&gt;0,REPLACE(J470,16,3,A6),"")</f>
        <v/>
      </c>
    </row>
    <row r="471" spans="10:11" x14ac:dyDescent="0.25">
      <c r="J471" t="s">
        <v>1274</v>
      </c>
      <c r="K471" t="str">
        <f>IF(A7&gt;0,REPLACE(J471,16,3,A7),"")</f>
        <v/>
      </c>
    </row>
    <row r="472" spans="10:11" x14ac:dyDescent="0.25">
      <c r="J472" t="s">
        <v>1275</v>
      </c>
      <c r="K472" t="str">
        <f>IF(A8&gt;0,REPLACE(J472,16,3,A8),"")</f>
        <v/>
      </c>
    </row>
    <row r="473" spans="10:11" x14ac:dyDescent="0.25">
      <c r="J473" t="s">
        <v>1276</v>
      </c>
      <c r="K473" t="str">
        <f>IF(A9&gt;0,REPLACE(J473,16,3,A9),"")</f>
        <v/>
      </c>
    </row>
    <row r="474" spans="10:11" x14ac:dyDescent="0.25">
      <c r="J474" t="s">
        <v>1277</v>
      </c>
      <c r="K474" t="str">
        <f>IF(A10&gt;0,REPLACE(J474,16,3,A10),"")</f>
        <v/>
      </c>
    </row>
    <row r="475" spans="10:11" x14ac:dyDescent="0.25">
      <c r="J475" t="s">
        <v>1278</v>
      </c>
      <c r="K475" t="str">
        <f>IF(A11&gt;0,REPLACE(J475,16,3,A11),"")</f>
        <v/>
      </c>
    </row>
    <row r="476" spans="10:11" x14ac:dyDescent="0.25">
      <c r="J476" t="s">
        <v>1279</v>
      </c>
      <c r="K476" t="str">
        <f>IF(A12&gt;0,REPLACE(J476,16,3,A12),"")</f>
        <v/>
      </c>
    </row>
    <row r="477" spans="10:11" x14ac:dyDescent="0.25">
      <c r="J477" t="s">
        <v>1280</v>
      </c>
      <c r="K477" t="str">
        <f>IF(A13&gt;0,REPLACE(J477,17,4,A13),"")</f>
        <v/>
      </c>
    </row>
    <row r="478" spans="10:11" x14ac:dyDescent="0.25">
      <c r="J478" t="s">
        <v>1281</v>
      </c>
      <c r="K478" t="str">
        <f>IF(A14&gt;0,REPLACE(J478,17,4,A14),"")</f>
        <v/>
      </c>
    </row>
    <row r="479" spans="10:11" x14ac:dyDescent="0.25">
      <c r="J479" t="s">
        <v>1282</v>
      </c>
      <c r="K479" t="str">
        <f>IF(A15&gt;0,REPLACE(J479,17,4,A15),"")</f>
        <v/>
      </c>
    </row>
    <row r="480" spans="10:11" x14ac:dyDescent="0.25">
      <c r="J480" t="s">
        <v>1283</v>
      </c>
      <c r="K480" t="str">
        <f>IF(A16&gt;0,REPLACE(J480,17,4,A16),"")</f>
        <v/>
      </c>
    </row>
    <row r="481" spans="10:11" x14ac:dyDescent="0.25">
      <c r="J481" t="s">
        <v>1284</v>
      </c>
      <c r="K481" t="str">
        <f>IF(A17&gt;0,REPLACE(J481,17,4,A17),"")</f>
        <v/>
      </c>
    </row>
    <row r="482" spans="10:11" x14ac:dyDescent="0.25">
      <c r="J482" t="s">
        <v>1285</v>
      </c>
      <c r="K482" t="str">
        <f>IF(A18&gt;0,REPLACE(J482,17,4,A18),"")</f>
        <v/>
      </c>
    </row>
    <row r="483" spans="10:11" x14ac:dyDescent="0.25">
      <c r="J483" t="s">
        <v>1286</v>
      </c>
      <c r="K483" t="str">
        <f>REPLACE(IF(B2&gt;0,REPLACE(J483,54,8,B2),""),21,3,I2)</f>
        <v>&lt;em&gt;5.7.3.2. Mexico ABC Market Size and Forecast, by BB (2024-2032)&lt;/em&gt;</v>
      </c>
    </row>
    <row r="484" spans="10:11" x14ac:dyDescent="0.25">
      <c r="J484" t="s">
        <v>1287</v>
      </c>
      <c r="K484" t="str">
        <f>IF(B4&gt;0,REPLACE(J484,16,3,B4),"")</f>
        <v/>
      </c>
    </row>
    <row r="485" spans="10:11" x14ac:dyDescent="0.25">
      <c r="J485" t="s">
        <v>1288</v>
      </c>
      <c r="K485" t="str">
        <f>IF(B5&gt;0,REPLACE(J485,16,3,B5),"")</f>
        <v/>
      </c>
    </row>
    <row r="486" spans="10:11" x14ac:dyDescent="0.25">
      <c r="J486" t="s">
        <v>1289</v>
      </c>
      <c r="K486" t="str">
        <f>IF(B6&gt;0,REPLACE(J486,16,3,B6),"")</f>
        <v/>
      </c>
    </row>
    <row r="487" spans="10:11" x14ac:dyDescent="0.25">
      <c r="J487" t="s">
        <v>1290</v>
      </c>
      <c r="K487" t="str">
        <f>IF(B7&gt;0,REPLACE(J487,16,3,B7),"")</f>
        <v/>
      </c>
    </row>
    <row r="488" spans="10:11" x14ac:dyDescent="0.25">
      <c r="J488" t="s">
        <v>1291</v>
      </c>
      <c r="K488" t="str">
        <f>IF(B8&gt;0,REPLACE(J488,16,3,B8),"")</f>
        <v/>
      </c>
    </row>
    <row r="489" spans="10:11" x14ac:dyDescent="0.25">
      <c r="J489" t="s">
        <v>1292</v>
      </c>
      <c r="K489" t="str">
        <f>IF(B9&gt;0,REPLACE(J489,16,3,B9),"")</f>
        <v/>
      </c>
    </row>
    <row r="490" spans="10:11" x14ac:dyDescent="0.25">
      <c r="J490" t="s">
        <v>1293</v>
      </c>
      <c r="K490" t="str">
        <f>IF(B10&gt;0,REPLACE(J490,16,3,B10),"")</f>
        <v/>
      </c>
    </row>
    <row r="491" spans="10:11" x14ac:dyDescent="0.25">
      <c r="J491" t="s">
        <v>1294</v>
      </c>
      <c r="K491" t="str">
        <f>IF(B11&gt;0,REPLACE(J491,16,3,B11),"")</f>
        <v/>
      </c>
    </row>
    <row r="492" spans="10:11" x14ac:dyDescent="0.25">
      <c r="J492" t="s">
        <v>1295</v>
      </c>
      <c r="K492" t="str">
        <f>IF(B12&gt;0,REPLACE(J492,16,3,B12),"")</f>
        <v/>
      </c>
    </row>
    <row r="493" spans="10:11" x14ac:dyDescent="0.25">
      <c r="J493" t="s">
        <v>1296</v>
      </c>
      <c r="K493" t="str">
        <f>IF(B13&gt;0,REPLACE(J493,17,4,B13),"")</f>
        <v/>
      </c>
    </row>
    <row r="494" spans="10:11" x14ac:dyDescent="0.25">
      <c r="J494" t="s">
        <v>1297</v>
      </c>
      <c r="K494" t="str">
        <f>IF(B14&gt;0,REPLACE(J494,17,4,B14),"")</f>
        <v/>
      </c>
    </row>
    <row r="495" spans="10:11" x14ac:dyDescent="0.25">
      <c r="J495" t="s">
        <v>1298</v>
      </c>
      <c r="K495" t="str">
        <f>IF(B15&gt;0,REPLACE(J495,17,4,B15),"")</f>
        <v/>
      </c>
    </row>
    <row r="496" spans="10:11" x14ac:dyDescent="0.25">
      <c r="J496" t="s">
        <v>1299</v>
      </c>
      <c r="K496" t="str">
        <f>IF(B16&gt;0,REPLACE(J496,17,4,B16),"")</f>
        <v/>
      </c>
    </row>
    <row r="497" spans="10:11" x14ac:dyDescent="0.25">
      <c r="J497" t="s">
        <v>1300</v>
      </c>
      <c r="K497" t="str">
        <f>IF(B17&gt;0,REPLACE(J497,17,4,B17),"")</f>
        <v/>
      </c>
    </row>
    <row r="498" spans="10:11" x14ac:dyDescent="0.25">
      <c r="J498" t="s">
        <v>1301</v>
      </c>
      <c r="K498" t="str">
        <f>IF(B18&gt;0,REPLACE(J498,17,4,B18),"")</f>
        <v/>
      </c>
    </row>
    <row r="499" spans="10:11" x14ac:dyDescent="0.25">
      <c r="J499" t="s">
        <v>1302</v>
      </c>
      <c r="K499" t="str">
        <f>REPLACE(IF(C2&gt;0,REPLACE(J499,54,8,C2),""),21,3,I2)</f>
        <v>&lt;em&gt;5.7.3.3. Mexico ABC Market Size and Forecast, by CC (2024-2032)&lt;/em&gt;</v>
      </c>
    </row>
    <row r="500" spans="10:11" x14ac:dyDescent="0.25">
      <c r="J500" t="s">
        <v>1303</v>
      </c>
      <c r="K500" t="str">
        <f>IF(C4&gt;0,REPLACE(J500,16,3,C4),"")</f>
        <v/>
      </c>
    </row>
    <row r="501" spans="10:11" x14ac:dyDescent="0.25">
      <c r="J501" t="s">
        <v>1304</v>
      </c>
      <c r="K501" t="str">
        <f>IF(C5&gt;0,REPLACE(J501,16,3,C5),"")</f>
        <v/>
      </c>
    </row>
    <row r="502" spans="10:11" x14ac:dyDescent="0.25">
      <c r="J502" t="s">
        <v>1305</v>
      </c>
      <c r="K502" t="str">
        <f>IF(C6&gt;0,REPLACE(J502,16,3,C6),"")</f>
        <v/>
      </c>
    </row>
    <row r="503" spans="10:11" x14ac:dyDescent="0.25">
      <c r="J503" t="s">
        <v>1306</v>
      </c>
      <c r="K503" t="str">
        <f>IF(C7&gt;0,REPLACE(J503,16,3,C7),"")</f>
        <v/>
      </c>
    </row>
    <row r="504" spans="10:11" x14ac:dyDescent="0.25">
      <c r="J504" t="s">
        <v>1307</v>
      </c>
      <c r="K504" t="str">
        <f>IF(C8&gt;0,REPLACE(J504,16,3,C8),"")</f>
        <v/>
      </c>
    </row>
    <row r="505" spans="10:11" x14ac:dyDescent="0.25">
      <c r="J505" t="s">
        <v>1308</v>
      </c>
      <c r="K505" t="str">
        <f>IF(C9&gt;0,REPLACE(J505,16,3,C9),"")</f>
        <v/>
      </c>
    </row>
    <row r="506" spans="10:11" x14ac:dyDescent="0.25">
      <c r="J506" t="s">
        <v>1309</v>
      </c>
      <c r="K506" t="str">
        <f>IF(C10&gt;0,REPLACE(J506,16,3,C10),"")</f>
        <v/>
      </c>
    </row>
    <row r="507" spans="10:11" x14ac:dyDescent="0.25">
      <c r="J507" t="s">
        <v>1310</v>
      </c>
      <c r="K507" t="str">
        <f>IF(C11&gt;0,REPLACE(J507,16,3,C11),"")</f>
        <v/>
      </c>
    </row>
    <row r="508" spans="10:11" x14ac:dyDescent="0.25">
      <c r="J508" t="s">
        <v>1311</v>
      </c>
      <c r="K508" t="str">
        <f>IF(C12&gt;0,REPLACE(J508,16,3,C12),"")</f>
        <v/>
      </c>
    </row>
    <row r="509" spans="10:11" x14ac:dyDescent="0.25">
      <c r="J509" t="s">
        <v>1312</v>
      </c>
      <c r="K509" t="str">
        <f>IF(C13&gt;0,REPLACE(J509,17,4,C13),"")</f>
        <v/>
      </c>
    </row>
    <row r="510" spans="10:11" x14ac:dyDescent="0.25">
      <c r="J510" t="s">
        <v>1313</v>
      </c>
      <c r="K510" t="str">
        <f>IF(C14&gt;0,REPLACE(J510,17,4,C14),"")</f>
        <v/>
      </c>
    </row>
    <row r="511" spans="10:11" x14ac:dyDescent="0.25">
      <c r="J511" t="s">
        <v>1314</v>
      </c>
      <c r="K511" t="str">
        <f>IF(C15&gt;0,REPLACE(J511,17,4,C15),"")</f>
        <v/>
      </c>
    </row>
    <row r="512" spans="10:11" x14ac:dyDescent="0.25">
      <c r="J512" t="s">
        <v>1315</v>
      </c>
      <c r="K512" t="str">
        <f>IF(C16&gt;0,REPLACE(J512,17,4,C16),"")</f>
        <v/>
      </c>
    </row>
    <row r="513" spans="10:11" x14ac:dyDescent="0.25">
      <c r="J513" t="s">
        <v>1316</v>
      </c>
      <c r="K513" t="str">
        <f>IF(C17&gt;0,REPLACE(J513,17,4,C17),"")</f>
        <v/>
      </c>
    </row>
    <row r="514" spans="10:11" x14ac:dyDescent="0.25">
      <c r="J514" t="s">
        <v>1317</v>
      </c>
      <c r="K514" t="str">
        <f>IF(C18&gt;0,REPLACE(J514,17,4,C18),"")</f>
        <v/>
      </c>
    </row>
    <row r="515" spans="10:11" x14ac:dyDescent="0.25">
      <c r="J515" t="s">
        <v>1318</v>
      </c>
      <c r="K515" t="str">
        <f>REPLACE(IF(D2&gt;0,REPLACE(J515,54,8,D2),""),21,3,I2)</f>
        <v>&lt;em&gt;5.7.3.4. Mexico ABC Market Size and Forecast, by DD (2024-2032)&lt;/em&gt;</v>
      </c>
    </row>
    <row r="516" spans="10:11" x14ac:dyDescent="0.25">
      <c r="J516" t="s">
        <v>1319</v>
      </c>
      <c r="K516" t="str">
        <f>IF(D4&gt;0,REPLACE(J516,16,3,D4),"")</f>
        <v/>
      </c>
    </row>
    <row r="517" spans="10:11" x14ac:dyDescent="0.25">
      <c r="J517" t="s">
        <v>1320</v>
      </c>
      <c r="K517" t="str">
        <f>IF(D5&gt;0,REPLACE(J517,16,3,D5),"")</f>
        <v/>
      </c>
    </row>
    <row r="518" spans="10:11" x14ac:dyDescent="0.25">
      <c r="J518" t="s">
        <v>1321</v>
      </c>
      <c r="K518" t="str">
        <f>IF(D6&gt;0,REPLACE(J518,16,3,D6),"")</f>
        <v/>
      </c>
    </row>
    <row r="519" spans="10:11" x14ac:dyDescent="0.25">
      <c r="J519" t="s">
        <v>1322</v>
      </c>
      <c r="K519" t="str">
        <f>IF(D7&gt;0,REPLACE(J519,16,3,D7),"")</f>
        <v/>
      </c>
    </row>
    <row r="520" spans="10:11" x14ac:dyDescent="0.25">
      <c r="J520" t="s">
        <v>1323</v>
      </c>
      <c r="K520" t="str">
        <f>IF(D8&gt;0,REPLACE(J520,16,3,D8),"")</f>
        <v/>
      </c>
    </row>
    <row r="521" spans="10:11" x14ac:dyDescent="0.25">
      <c r="J521" t="s">
        <v>1324</v>
      </c>
      <c r="K521" t="str">
        <f>IF(D9&gt;0,REPLACE(J521,16,3,D9),"")</f>
        <v/>
      </c>
    </row>
    <row r="522" spans="10:11" x14ac:dyDescent="0.25">
      <c r="J522" t="s">
        <v>1325</v>
      </c>
      <c r="K522" t="str">
        <f>IF(D10&gt;0,REPLACE(J522,16,3,D10),"")</f>
        <v/>
      </c>
    </row>
    <row r="523" spans="10:11" x14ac:dyDescent="0.25">
      <c r="J523" t="s">
        <v>1326</v>
      </c>
      <c r="K523" t="str">
        <f>IF(D11&gt;0,REPLACE(J523,16,3,D11),"")</f>
        <v/>
      </c>
    </row>
    <row r="524" spans="10:11" x14ac:dyDescent="0.25">
      <c r="J524" t="s">
        <v>1327</v>
      </c>
      <c r="K524" t="str">
        <f>IF(D12&gt;0,REPLACE(J524,16,3,D12),"")</f>
        <v/>
      </c>
    </row>
    <row r="525" spans="10:11" x14ac:dyDescent="0.25">
      <c r="J525" t="s">
        <v>1328</v>
      </c>
      <c r="K525" t="str">
        <f>IF(D13&gt;0,REPLACE(J525,17,4,D13),"")</f>
        <v/>
      </c>
    </row>
    <row r="526" spans="10:11" x14ac:dyDescent="0.25">
      <c r="J526" t="s">
        <v>1329</v>
      </c>
      <c r="K526" t="str">
        <f>IF(D14&gt;0,REPLACE(J526,17,4,D14),"")</f>
        <v/>
      </c>
    </row>
    <row r="527" spans="10:11" x14ac:dyDescent="0.25">
      <c r="J527" t="s">
        <v>1330</v>
      </c>
      <c r="K527" t="str">
        <f>IF(D15&gt;0,REPLACE(J527,17,4,D15),"")</f>
        <v/>
      </c>
    </row>
    <row r="528" spans="10:11" x14ac:dyDescent="0.25">
      <c r="J528" t="s">
        <v>1331</v>
      </c>
      <c r="K528" t="str">
        <f>IF(D16&gt;0,REPLACE(J528,17,4,D16),"")</f>
        <v/>
      </c>
    </row>
    <row r="529" spans="10:11" x14ac:dyDescent="0.25">
      <c r="J529" t="s">
        <v>1332</v>
      </c>
      <c r="K529" t="str">
        <f>IF(D17&gt;0,REPLACE(J529,17,4,D17),"")</f>
        <v/>
      </c>
    </row>
    <row r="530" spans="10:11" x14ac:dyDescent="0.25">
      <c r="J530" t="s">
        <v>1333</v>
      </c>
      <c r="K530" t="str">
        <f>IF(D18&gt;0,REPLACE(J530,17,4,D18),"")</f>
        <v/>
      </c>
    </row>
    <row r="531" spans="10:11" x14ac:dyDescent="0.25">
      <c r="J531" t="s">
        <v>1334</v>
      </c>
      <c r="K531" t="str">
        <f>REPLACE(IF(E2&gt;0,REPLACE(J531,54,8,E2),""),21,3,I2)</f>
        <v>&lt;em&gt;5.7.3.5. Mexico ABC Market Size and Forecast, by EE (2024-2032)&lt;/em&gt;</v>
      </c>
    </row>
    <row r="532" spans="10:11" x14ac:dyDescent="0.25">
      <c r="J532" t="s">
        <v>1335</v>
      </c>
      <c r="K532" t="str">
        <f>IF(E4&gt;0,REPLACE(J532,16,3,E4),"")</f>
        <v/>
      </c>
    </row>
    <row r="533" spans="10:11" x14ac:dyDescent="0.25">
      <c r="J533" t="s">
        <v>1336</v>
      </c>
      <c r="K533" t="str">
        <f>IF(E5&gt;0,REPLACE(J533,16,3,E5),"")</f>
        <v/>
      </c>
    </row>
    <row r="534" spans="10:11" x14ac:dyDescent="0.25">
      <c r="J534" t="s">
        <v>1337</v>
      </c>
      <c r="K534" t="str">
        <f>IF(E6&gt;0,REPLACE(J534,16,3,E6),"")</f>
        <v/>
      </c>
    </row>
    <row r="535" spans="10:11" x14ac:dyDescent="0.25">
      <c r="J535" t="s">
        <v>1338</v>
      </c>
      <c r="K535" t="str">
        <f>IF(E7&gt;0,REPLACE(J535,16,3,E7),"")</f>
        <v/>
      </c>
    </row>
    <row r="536" spans="10:11" x14ac:dyDescent="0.25">
      <c r="J536" t="s">
        <v>1339</v>
      </c>
      <c r="K536" t="str">
        <f>IF(E8&gt;0,REPLACE(J536,16,3,E8),"")</f>
        <v/>
      </c>
    </row>
    <row r="537" spans="10:11" x14ac:dyDescent="0.25">
      <c r="J537" t="s">
        <v>1340</v>
      </c>
      <c r="K537" t="str">
        <f>IF(E9&gt;0,REPLACE(J537,16,3,E9),"")</f>
        <v/>
      </c>
    </row>
    <row r="538" spans="10:11" x14ac:dyDescent="0.25">
      <c r="J538" t="s">
        <v>1341</v>
      </c>
      <c r="K538" t="str">
        <f>IF(E10&gt;0,REPLACE(J538,16,3,E10),"")</f>
        <v/>
      </c>
    </row>
    <row r="539" spans="10:11" x14ac:dyDescent="0.25">
      <c r="J539" t="s">
        <v>1342</v>
      </c>
      <c r="K539" t="str">
        <f>IF(E11&gt;0,REPLACE(J539,16,3,E11),"")</f>
        <v/>
      </c>
    </row>
    <row r="540" spans="10:11" x14ac:dyDescent="0.25">
      <c r="J540" t="s">
        <v>1343</v>
      </c>
      <c r="K540" t="str">
        <f>IF(E12&gt;0,REPLACE(J540,16,3,E12),"")</f>
        <v/>
      </c>
    </row>
    <row r="541" spans="10:11" x14ac:dyDescent="0.25">
      <c r="J541" t="s">
        <v>1344</v>
      </c>
      <c r="K541" t="str">
        <f>IF(E13&gt;0,REPLACE(J541,17,4,E13),"")</f>
        <v/>
      </c>
    </row>
    <row r="542" spans="10:11" x14ac:dyDescent="0.25">
      <c r="J542" t="s">
        <v>1345</v>
      </c>
      <c r="K542" t="str">
        <f>IF(E14&gt;0,REPLACE(J542,17,4,E14),"")</f>
        <v/>
      </c>
    </row>
    <row r="543" spans="10:11" x14ac:dyDescent="0.25">
      <c r="J543" t="s">
        <v>1346</v>
      </c>
      <c r="K543" t="str">
        <f>IF(E15&gt;0,REPLACE(J543,17,4,E15),"")</f>
        <v/>
      </c>
    </row>
    <row r="544" spans="10:11" x14ac:dyDescent="0.25">
      <c r="J544" t="s">
        <v>1347</v>
      </c>
      <c r="K544" t="str">
        <f>IF(E16&gt;0,REPLACE(J544,17,4,E16),"")</f>
        <v/>
      </c>
    </row>
    <row r="545" spans="10:11" x14ac:dyDescent="0.25">
      <c r="J545" t="s">
        <v>1348</v>
      </c>
      <c r="K545" t="str">
        <f>IF(E17&gt;0,REPLACE(J545,17,4,E17),"")</f>
        <v/>
      </c>
    </row>
    <row r="546" spans="10:11" x14ac:dyDescent="0.25">
      <c r="J546" t="s">
        <v>1349</v>
      </c>
      <c r="K546" t="str">
        <f>IF(E18&gt;0,REPLACE(J546,17,4,E18),"")</f>
        <v/>
      </c>
    </row>
    <row r="547" spans="10:11" x14ac:dyDescent="0.25">
      <c r="J547" t="s">
        <v>1350</v>
      </c>
      <c r="K547" t="str">
        <f>REPLACE(IF(F2&gt;0,REPLACE(J547,54,8,F2),""),21,3,I2)</f>
        <v>&lt;em&gt;5.7.3.6. Mexico ABC Market Size and Forecast, by FF (2024-2032)&lt;/em&gt;</v>
      </c>
    </row>
    <row r="548" spans="10:11" x14ac:dyDescent="0.25">
      <c r="J548" t="s">
        <v>1351</v>
      </c>
      <c r="K548" t="str">
        <f>IF(F4&gt;0,REPLACE(J548,16,3,F4),"")</f>
        <v/>
      </c>
    </row>
    <row r="549" spans="10:11" x14ac:dyDescent="0.25">
      <c r="J549" t="s">
        <v>1352</v>
      </c>
      <c r="K549" t="str">
        <f>IF(F5&gt;0,REPLACE(J549,16,3,F5),"")</f>
        <v/>
      </c>
    </row>
    <row r="550" spans="10:11" x14ac:dyDescent="0.25">
      <c r="J550" t="s">
        <v>1353</v>
      </c>
      <c r="K550" t="str">
        <f>IF(F6&gt;0,REPLACE(J550,16,3,F6),"")</f>
        <v/>
      </c>
    </row>
    <row r="551" spans="10:11" x14ac:dyDescent="0.25">
      <c r="J551" t="s">
        <v>1354</v>
      </c>
      <c r="K551" t="str">
        <f>IF(F7&gt;0,REPLACE(J551,16,3,F7),"")</f>
        <v/>
      </c>
    </row>
    <row r="552" spans="10:11" x14ac:dyDescent="0.25">
      <c r="J552" t="s">
        <v>1355</v>
      </c>
      <c r="K552" t="str">
        <f>IF(F8&gt;0,REPLACE(J552,16,3,F8),"")</f>
        <v/>
      </c>
    </row>
    <row r="553" spans="10:11" x14ac:dyDescent="0.25">
      <c r="J553" t="s">
        <v>1356</v>
      </c>
      <c r="K553" t="str">
        <f>IF(F9&gt;0,REPLACE(J553,16,3,F9),"")</f>
        <v/>
      </c>
    </row>
    <row r="554" spans="10:11" x14ac:dyDescent="0.25">
      <c r="J554" t="s">
        <v>1357</v>
      </c>
      <c r="K554" t="str">
        <f>IF(F10&gt;0,REPLACE(J554,16,3,F10),"")</f>
        <v/>
      </c>
    </row>
    <row r="555" spans="10:11" x14ac:dyDescent="0.25">
      <c r="J555" t="s">
        <v>1358</v>
      </c>
      <c r="K555" t="str">
        <f>IF(F11&gt;0,REPLACE(J555,16,3,F11),"")</f>
        <v/>
      </c>
    </row>
    <row r="556" spans="10:11" x14ac:dyDescent="0.25">
      <c r="J556" t="s">
        <v>1359</v>
      </c>
      <c r="K556" t="str">
        <f>IF(F12&gt;0,REPLACE(J556,16,3,F12),"")</f>
        <v/>
      </c>
    </row>
    <row r="557" spans="10:11" x14ac:dyDescent="0.25">
      <c r="J557" t="s">
        <v>1360</v>
      </c>
      <c r="K557" t="str">
        <f>IF(F13&gt;0,REPLACE(J557,17,4,F13),"")</f>
        <v/>
      </c>
    </row>
    <row r="558" spans="10:11" x14ac:dyDescent="0.25">
      <c r="J558" t="s">
        <v>1361</v>
      </c>
      <c r="K558" t="str">
        <f>IF(F14&gt;0,REPLACE(J558,17,4,F14),"")</f>
        <v/>
      </c>
    </row>
    <row r="559" spans="10:11" x14ac:dyDescent="0.25">
      <c r="J559" t="s">
        <v>1362</v>
      </c>
      <c r="K559" t="str">
        <f>IF(F15&gt;0,REPLACE(J559,17,4,F15),"")</f>
        <v/>
      </c>
    </row>
    <row r="560" spans="10:11" x14ac:dyDescent="0.25">
      <c r="J560" t="s">
        <v>1363</v>
      </c>
      <c r="K560" t="str">
        <f>IF(F16&gt;0,REPLACE(J560,17,4,F16),"")</f>
        <v/>
      </c>
    </row>
    <row r="561" spans="10:11" x14ac:dyDescent="0.25">
      <c r="J561" t="s">
        <v>1364</v>
      </c>
      <c r="K561" t="str">
        <f>IF(F17&gt;0,REPLACE(J561,17,4,F17),"")</f>
        <v/>
      </c>
    </row>
    <row r="562" spans="10:11" x14ac:dyDescent="0.25">
      <c r="J562" t="s">
        <v>1365</v>
      </c>
      <c r="K562" t="str">
        <f>IF(F18&gt;0,REPLACE(J562,17,4,F18),"")</f>
        <v/>
      </c>
    </row>
    <row r="564" spans="10:11" x14ac:dyDescent="0.25">
      <c r="J564" t="s">
        <v>857</v>
      </c>
      <c r="K564" t="str">
        <f>REPLACE(J564,FIND("ABC",J564,1),3,$I$2)</f>
        <v>&lt;strong&gt;6. Europe ABC Market Size and Forecast by Segmentation (by Value in USD Million) 2024-2032&lt;/strong&gt;</v>
      </c>
    </row>
    <row r="565" spans="10:11" x14ac:dyDescent="0.25">
      <c r="J565" t="s">
        <v>858</v>
      </c>
      <c r="K565" t="str">
        <f>REPLACE((IF(A2&gt;0,REPLACE(J565,46,8,A2),"")),13,3,I2)</f>
        <v>6.1. Europe ABC Market Size and Forecast, by AA (2024-2032)</v>
      </c>
    </row>
    <row r="566" spans="10:11" x14ac:dyDescent="0.25">
      <c r="J566" t="s">
        <v>859</v>
      </c>
      <c r="K566" t="str">
        <f>REPLACE((IF(B2&gt;0,REPLACE(J566,46,8,B2),"")),13,3,I2)</f>
        <v>6.2. Europe ABC Market Size and Forecast, by BB (2024-2032)</v>
      </c>
    </row>
    <row r="567" spans="10:11" x14ac:dyDescent="0.25">
      <c r="J567" t="s">
        <v>860</v>
      </c>
      <c r="K567" t="str">
        <f>REPLACE((IF(C2&gt;0,REPLACE(J567,46,8,C2),"")),13,3,I2)</f>
        <v>6.3. Europe ABC Market Size and Forecast, by CC (2024-2032)</v>
      </c>
    </row>
    <row r="568" spans="10:11" x14ac:dyDescent="0.25">
      <c r="J568" t="s">
        <v>861</v>
      </c>
      <c r="K568" t="str">
        <f>REPLACE((IF(D2&gt;0,REPLACE(J568,46,8,D2),"")),13,3,I2)</f>
        <v>6.4. Europe ABC Market Size and Forecast, by DD (2024-2032)</v>
      </c>
    </row>
    <row r="569" spans="10:11" x14ac:dyDescent="0.25">
      <c r="J569" t="s">
        <v>862</v>
      </c>
      <c r="K569" t="str">
        <f>REPLACE((IF(E2&gt;0,REPLACE(J569,46,8,E2),"")),13,3,I2)</f>
        <v>6.5. Europe ABC Market Size and Forecast, by EE (2024-2032)</v>
      </c>
    </row>
    <row r="570" spans="10:11" x14ac:dyDescent="0.25">
      <c r="J570" t="s">
        <v>863</v>
      </c>
      <c r="K570" t="str">
        <f>REPLACE((IF(F2&gt;0,REPLACE(J570,46,8,F2),"")),13,3,I2)</f>
        <v>6.6. Europe ABC Market Size and Forecast, by FF (2024-2032)</v>
      </c>
    </row>
    <row r="571" spans="10:11" x14ac:dyDescent="0.25">
      <c r="J571" t="s">
        <v>1366</v>
      </c>
      <c r="K571" t="str">
        <f>REPLACE(J571,FIND("ABC",J571,1),3,$I$2)</f>
        <v>6.7. Europe ABC Market Size and Forecast, by Country (2024-2032)</v>
      </c>
    </row>
    <row r="572" spans="10:11" x14ac:dyDescent="0.25">
      <c r="J572" t="s">
        <v>1367</v>
      </c>
      <c r="K572" t="str">
        <f>J572</f>
        <v>&lt;strong&gt;&lt;em&gt;6.7.1. United Kingdom&lt;/em&gt;&lt;/strong&gt;</v>
      </c>
    </row>
    <row r="573" spans="10:11" x14ac:dyDescent="0.25">
      <c r="J573" t="s">
        <v>1368</v>
      </c>
      <c r="K573" t="str">
        <f>REPLACE(IF(A2&gt;0,REPLACE(J573,62,8,A2),""),FIND("ABC",J573,1),3,$I$2)</f>
        <v>&lt;em&gt;6.7.1.1. United Kingdom ABC Market Size and Forecast, by AA (2024-2032)&lt;/em&gt;</v>
      </c>
    </row>
    <row r="574" spans="10:11" x14ac:dyDescent="0.25">
      <c r="J574" t="s">
        <v>1369</v>
      </c>
      <c r="K574" t="str">
        <f>REPLACE(IF(B2&gt;0,REPLACE(J574,62,8,B2),""),FIND("ABC",J574,1),3,$I$2)</f>
        <v>&lt;em&gt;6.7.1.2. United Kingdom ABC Market Size and Forecast, by BB (2024-2032)&lt;/em&gt;</v>
      </c>
    </row>
    <row r="575" spans="10:11" x14ac:dyDescent="0.25">
      <c r="J575" t="s">
        <v>1370</v>
      </c>
      <c r="K575" t="str">
        <f>REPLACE(IF(C2&gt;0,REPLACE(J575,62,8,C2),""),FIND("ABC",J575,1),3,$I$2)</f>
        <v>&lt;em&gt;6.7.1.3. United Kingdom ABC Market Size and Forecast, by CC (2024-2032)&lt;/em&gt;</v>
      </c>
    </row>
    <row r="576" spans="10:11" x14ac:dyDescent="0.25">
      <c r="J576" t="s">
        <v>1371</v>
      </c>
      <c r="K576" t="str">
        <f>REPLACE(IF(D2&gt;0,REPLACE(J576,62,8,D2),""),FIND("ABC",J576,1),3,$I$2)</f>
        <v>&lt;em&gt;6.7.1.4. United Kingdom ABC Market Size and Forecast, by DD (2024-2032)&lt;/em&gt;</v>
      </c>
    </row>
    <row r="577" spans="10:11" x14ac:dyDescent="0.25">
      <c r="J577" t="s">
        <v>1372</v>
      </c>
      <c r="K577" t="str">
        <f>REPLACE(IF(E2&gt;0,REPLACE(J577,62,8,E2),""),FIND("ABC",J577,1),3,$I$2)</f>
        <v>&lt;em&gt;6.7.1.5. United Kingdom ABC Market Size and Forecast, by EE (2024-2032)&lt;/em&gt;</v>
      </c>
    </row>
    <row r="578" spans="10:11" x14ac:dyDescent="0.25">
      <c r="J578" t="s">
        <v>1373</v>
      </c>
      <c r="K578" t="str">
        <f>REPLACE(IF(F2&gt;0,REPLACE(J578,62,8,F2),""),FIND("ABC",J578,1),3,$I$2)</f>
        <v>&lt;em&gt;6.7.1.6. United Kingdom ABC Market Size and Forecast, by FF (2024-2032)&lt;/em&gt;</v>
      </c>
    </row>
    <row r="579" spans="10:11" x14ac:dyDescent="0.25">
      <c r="J579" t="s">
        <v>1374</v>
      </c>
      <c r="K579" t="str">
        <f>J579</f>
        <v>&lt;strong&gt;&lt;em&gt;6.7.2. France&lt;/em&gt;&lt;/strong&gt;</v>
      </c>
    </row>
    <row r="580" spans="10:11" x14ac:dyDescent="0.25">
      <c r="J580" t="s">
        <v>1375</v>
      </c>
      <c r="K580" t="str">
        <f>REPLACE(IF(A2&gt;0,REPLACE(J580,54,8,A2),""),FIND("ABC",J580,1),3,$I$2)</f>
        <v>&lt;em&gt;6.7.2.1. France ABC Market Size and Forecast, by AA (2024-2032)&lt;/em&gt;</v>
      </c>
    </row>
    <row r="581" spans="10:11" x14ac:dyDescent="0.25">
      <c r="J581" t="s">
        <v>1376</v>
      </c>
      <c r="K581" t="str">
        <f>REPLACE(IF(B2&gt;0,REPLACE(J581,54,8,B2),""),FIND("ABC",J581,1),3,$I$2)</f>
        <v>&lt;em&gt;6.7.2.2. France ABC Market Size and Forecast, by BB (2024-2032)&lt;/em&gt;</v>
      </c>
    </row>
    <row r="582" spans="10:11" x14ac:dyDescent="0.25">
      <c r="J582" t="s">
        <v>1377</v>
      </c>
      <c r="K582" t="str">
        <f>REPLACE(IF(C2&gt;0,REPLACE(J582,54,8,C2),""),FIND("ABC",J582,1),3,$I$2)</f>
        <v>&lt;em&gt;6.7.2.3. France ABC Market Size and Forecast, by CC (2024-2032)&lt;/em&gt;</v>
      </c>
    </row>
    <row r="583" spans="10:11" x14ac:dyDescent="0.25">
      <c r="J583" t="s">
        <v>1378</v>
      </c>
      <c r="K583" t="str">
        <f>REPLACE(IF(D2&gt;0,REPLACE(J583,54,8,D2),""),FIND("ABC",J583,1),3,$I$2)</f>
        <v>&lt;em&gt;6.7.2.4. France ABC Market Size and Forecast, by DD (2024-2032)&lt;/em&gt;</v>
      </c>
    </row>
    <row r="584" spans="10:11" x14ac:dyDescent="0.25">
      <c r="J584" t="s">
        <v>1379</v>
      </c>
      <c r="K584" t="str">
        <f>REPLACE(IF(E2&gt;0,REPLACE(J584,54,8,E2),""),FIND("ABC",J584,1),3,$I$2)</f>
        <v>&lt;em&gt;6.7.2.5. France ABC Market Size and Forecast, by EE (2024-2032)&lt;/em&gt;</v>
      </c>
    </row>
    <row r="585" spans="10:11" x14ac:dyDescent="0.25">
      <c r="J585" t="s">
        <v>1380</v>
      </c>
      <c r="K585" t="str">
        <f>REPLACE(IF(F2&gt;0,REPLACE(J585,54,8,F2),""),FIND("ABC",J585,1),3,$I$2)</f>
        <v>&lt;em&gt;6.7.2.6. France ABC Market Size and Forecast, by FF (2024-2032)&lt;/em&gt;</v>
      </c>
    </row>
    <row r="586" spans="10:11" x14ac:dyDescent="0.25">
      <c r="J586" t="s">
        <v>1381</v>
      </c>
      <c r="K586" t="str">
        <f>J586</f>
        <v>&lt;strong&gt;&lt;em&gt;6.7.3. Germany&lt;/em&gt;&lt;/strong&gt;</v>
      </c>
    </row>
    <row r="587" spans="10:11" x14ac:dyDescent="0.25">
      <c r="J587" t="s">
        <v>1382</v>
      </c>
      <c r="K587" t="str">
        <f>REPLACE(IF(A2&gt;0,REPLACE(J587,55,8,A2),""),FIND("ABC",J587,1),3,$I$2)</f>
        <v>&lt;em&gt;6.7.3.1. Germany ABC Market Size and Forecast, by AA (2024-2032)&lt;/em&gt;</v>
      </c>
    </row>
    <row r="588" spans="10:11" x14ac:dyDescent="0.25">
      <c r="J588" t="s">
        <v>1383</v>
      </c>
      <c r="K588" t="str">
        <f>REPLACE(IF(B2&gt;0,REPLACE(J588,55,8,B2),""),FIND("ABC",J588,1),3,$I$2)</f>
        <v>&lt;em&gt;6.7.3.2. Germany ABC Market Size and Forecast, by BB (2024-2032)&lt;/em&gt;</v>
      </c>
    </row>
    <row r="589" spans="10:11" x14ac:dyDescent="0.25">
      <c r="J589" t="s">
        <v>1384</v>
      </c>
      <c r="K589" t="str">
        <f>REPLACE(IF(C2&gt;0,REPLACE(J589,55,8,C2),""),FIND("ABC",J589,1),3,$I$2)</f>
        <v>&lt;em&gt;6.7.3.3. Germany ABC Market Size and Forecast, by CC (2024-2032)&lt;/em&gt;</v>
      </c>
    </row>
    <row r="590" spans="10:11" x14ac:dyDescent="0.25">
      <c r="J590" t="s">
        <v>1385</v>
      </c>
      <c r="K590" t="str">
        <f>REPLACE(IF(D2&gt;0,REPLACE(J590,55,8,D2),""),FIND("ABC",J590,1),3,$I$2)</f>
        <v>&lt;em&gt;6.7.3.4. Germany ABC Market Size and Forecast, by DD (2024-2032)&lt;/em&gt;</v>
      </c>
    </row>
    <row r="591" spans="10:11" x14ac:dyDescent="0.25">
      <c r="J591" t="s">
        <v>1386</v>
      </c>
      <c r="K591" t="str">
        <f>REPLACE(IF(E2&gt;0,REPLACE(J591,55,8,E2),""),FIND("ABC",J591,1),3,$I$2)</f>
        <v>&lt;em&gt;6.7.3.5. Germany ABC Market Size and Forecast, by EE (2024-2032)&lt;/em&gt;</v>
      </c>
    </row>
    <row r="592" spans="10:11" x14ac:dyDescent="0.25">
      <c r="J592" t="s">
        <v>1387</v>
      </c>
      <c r="K592" t="str">
        <f>REPLACE(IF(F2&gt;0,REPLACE(J592,55,8,F2),""),FIND("ABC",J592,1),3,$I$2)</f>
        <v>&lt;em&gt;6.7.3.6. Germany ABC Market Size and Forecast, by FF (2024-2032)&lt;/em&gt;</v>
      </c>
    </row>
    <row r="593" spans="10:11" x14ac:dyDescent="0.25">
      <c r="J593" t="s">
        <v>1388</v>
      </c>
      <c r="K593" t="str">
        <f>J593</f>
        <v>&lt;strong&gt;&lt;em&gt;6.7.4. Italy&lt;/em&gt;&lt;/strong&gt;</v>
      </c>
    </row>
    <row r="594" spans="10:11" x14ac:dyDescent="0.25">
      <c r="J594" t="s">
        <v>1389</v>
      </c>
      <c r="K594" t="str">
        <f>REPLACE(IF(A2&gt;0,REPLACE(J594,53,8,A2),""),FIND("ABC",J594,1),3,$I$2)</f>
        <v>&lt;em&gt;6.7.4.1. Italy ABC Market Size and Forecast, by AA (2024-2032)&lt;/em&gt;</v>
      </c>
    </row>
    <row r="595" spans="10:11" x14ac:dyDescent="0.25">
      <c r="J595" t="s">
        <v>1390</v>
      </c>
      <c r="K595" t="str">
        <f>REPLACE(IF(B2&gt;0,REPLACE(J595,53,8,B2),""),FIND("ABC",J595,1),3,$I$2)</f>
        <v>&lt;em&gt;6.7.4.2. Italy ABC Market Size and Forecast, by BB (2024-2032)&lt;/em&gt;</v>
      </c>
    </row>
    <row r="596" spans="10:11" x14ac:dyDescent="0.25">
      <c r="J596" t="s">
        <v>1391</v>
      </c>
      <c r="K596" t="str">
        <f>REPLACE(IF(C2&gt;0,REPLACE(J596,53,8,C2),""),FIND("ABC",J596,1),3,$I$2)</f>
        <v>&lt;em&gt;6.7.4.3. Italy ABC Market Size and Forecast, by CC (2024-2032)&lt;/em&gt;</v>
      </c>
    </row>
    <row r="597" spans="10:11" x14ac:dyDescent="0.25">
      <c r="J597" t="s">
        <v>1392</v>
      </c>
      <c r="K597" t="str">
        <f>REPLACE(IF(D2&gt;0,REPLACE(J597,53,8,D2),""),FIND("ABC",J597,1),3,$I$2)</f>
        <v>&lt;em&gt;6.7.4.4. Italy ABC Market Size and Forecast, by DD (2024-2032)&lt;/em&gt;</v>
      </c>
    </row>
    <row r="598" spans="10:11" x14ac:dyDescent="0.25">
      <c r="J598" t="s">
        <v>1393</v>
      </c>
      <c r="K598" t="str">
        <f>REPLACE(IF(E2&gt;0,REPLACE(J598,53,8,E2),""),FIND("ABC",J598,1),3,$I$2)</f>
        <v>&lt;em&gt;6.7.4.5. Italy ABC Market Size and Forecast, by EE (2024-2032)&lt;/em&gt;</v>
      </c>
    </row>
    <row r="599" spans="10:11" x14ac:dyDescent="0.25">
      <c r="J599" t="s">
        <v>1394</v>
      </c>
      <c r="K599" t="str">
        <f>REPLACE(IF(F2&gt;0,REPLACE(J599,53,8,F2),""),FIND("ABC",J599,1),3,$I$2)</f>
        <v>&lt;em&gt;6.7.4.6. Italy ABC Market Size and Forecast, by FF (2024-2032)&lt;/em&gt;</v>
      </c>
    </row>
    <row r="600" spans="10:11" x14ac:dyDescent="0.25">
      <c r="J600" t="s">
        <v>1395</v>
      </c>
      <c r="K600" t="str">
        <f>J600</f>
        <v>&lt;strong&gt;&lt;em&gt;6.7.5. Spain&lt;/em&gt;&lt;/strong&gt;</v>
      </c>
    </row>
    <row r="601" spans="10:11" x14ac:dyDescent="0.25">
      <c r="J601" t="s">
        <v>1396</v>
      </c>
      <c r="K601" t="str">
        <f>REPLACE(IF(A2&gt;0,REPLACE(J601,53,8,A2),""),FIND("ABC",J601,1),3,$I$2)</f>
        <v>&lt;em&gt;6.7.5.1. Spain ABC Market Size and Forecast, by AA (2024-2032)&lt;/em&gt;</v>
      </c>
    </row>
    <row r="602" spans="10:11" x14ac:dyDescent="0.25">
      <c r="J602" t="s">
        <v>1397</v>
      </c>
      <c r="K602" t="str">
        <f>REPLACE(IF(B2&gt;0,REPLACE(J602,53,8,B2),""),FIND("ABC",J602,1),3,$I$2)</f>
        <v>&lt;em&gt;6.7.5.2. Spain ABC Market Size and Forecast, by BB (2024-2032)&lt;/em&gt;</v>
      </c>
    </row>
    <row r="603" spans="10:11" x14ac:dyDescent="0.25">
      <c r="J603" t="s">
        <v>1398</v>
      </c>
      <c r="K603" t="str">
        <f>REPLACE(IF(C2&gt;0,REPLACE(J603,53,8,C2),""),FIND("ABC",J603,1),3,$I$2)</f>
        <v>&lt;em&gt;6.7.5.3. Spain ABC Market Size and Forecast, by CC (2024-2032)&lt;/em&gt;</v>
      </c>
    </row>
    <row r="604" spans="10:11" x14ac:dyDescent="0.25">
      <c r="J604" t="s">
        <v>1399</v>
      </c>
      <c r="K604" t="str">
        <f>REPLACE(IF(D2&gt;0,REPLACE(J604,53,8,D2),""),FIND("ABC",J604,1),3,$I$2)</f>
        <v>&lt;em&gt;6.7.5.4. Spain ABC Market Size and Forecast, by DD (2024-2032)&lt;/em&gt;</v>
      </c>
    </row>
    <row r="605" spans="10:11" x14ac:dyDescent="0.25">
      <c r="J605" t="s">
        <v>1400</v>
      </c>
      <c r="K605" t="str">
        <f>REPLACE(IF(E2&gt;0,REPLACE(J605,53,8,E2),""),FIND("ABC",J605,1),3,$I$2)</f>
        <v>&lt;em&gt;6.7.5.5. Spain ABC Market Size and Forecast, by EE (2024-2032)&lt;/em&gt;</v>
      </c>
    </row>
    <row r="606" spans="10:11" x14ac:dyDescent="0.25">
      <c r="J606" t="s">
        <v>1401</v>
      </c>
      <c r="K606" t="str">
        <f>REPLACE(IF(F2&gt;0,REPLACE(J606,53,8,F2),""),FIND("ABC",J606,1),3,$I$2)</f>
        <v>&lt;em&gt;6.7.5.6. Spain ABC Market Size and Forecast, by FF (2024-2032)&lt;/em&gt;</v>
      </c>
    </row>
    <row r="607" spans="10:11" x14ac:dyDescent="0.25">
      <c r="J607" t="s">
        <v>1402</v>
      </c>
      <c r="K607" t="str">
        <f>J607</f>
        <v>&lt;strong&gt;&lt;em&gt;6.7.6. Sweden&lt;/em&gt;&lt;/strong&gt;</v>
      </c>
    </row>
    <row r="608" spans="10:11" x14ac:dyDescent="0.25">
      <c r="J608" t="s">
        <v>1403</v>
      </c>
      <c r="K608" t="str">
        <f>REPLACE(IF(A2&gt;0,REPLACE(J608,54,8,A2),""),FIND("ABC",J608,1),3,$I$2)</f>
        <v>&lt;em&gt;6.7.6.1. Sweden ABC Market Size and Forecast, by AA (2024-2032)&lt;/em&gt;</v>
      </c>
    </row>
    <row r="609" spans="10:11" x14ac:dyDescent="0.25">
      <c r="J609" t="s">
        <v>1404</v>
      </c>
      <c r="K609" t="str">
        <f>REPLACE(IF(B2&gt;0,REPLACE(J609,54,8,B2),""),FIND("ABC",J609,1),3,$I$2)</f>
        <v>&lt;em&gt;6.7.6.2. Sweden ABC Market Size and Forecast, by BB (2024-2032)&lt;/em&gt;</v>
      </c>
    </row>
    <row r="610" spans="10:11" x14ac:dyDescent="0.25">
      <c r="J610" t="s">
        <v>1405</v>
      </c>
      <c r="K610" t="str">
        <f>REPLACE(IF(C2&gt;0,REPLACE(J610,54,8,C2),""),FIND("ABC",J610,1),3,$I$2)</f>
        <v>&lt;em&gt;6.7.6.3. Sweden ABC Market Size and Forecast, by CC (2024-2032)&lt;/em&gt;</v>
      </c>
    </row>
    <row r="611" spans="10:11" x14ac:dyDescent="0.25">
      <c r="J611" t="s">
        <v>1406</v>
      </c>
      <c r="K611" t="str">
        <f>REPLACE(IF(D2&gt;0,REPLACE(J611,54,8,D2),""),FIND("ABC",J611,1),3,$I$2)</f>
        <v>&lt;em&gt;6.7.6.4. Sweden ABC Market Size and Forecast, by DD (2024-2032)&lt;/em&gt;</v>
      </c>
    </row>
    <row r="612" spans="10:11" x14ac:dyDescent="0.25">
      <c r="J612" t="s">
        <v>1407</v>
      </c>
      <c r="K612" t="str">
        <f>REPLACE(IF(E2&gt;0,REPLACE(J612,54,8,E2),""),FIND("ABC",J612,1),3,$I$2)</f>
        <v>&lt;em&gt;6.7.6.5. Sweden ABC Market Size and Forecast, by EE (2024-2032)&lt;/em&gt;</v>
      </c>
    </row>
    <row r="613" spans="10:11" x14ac:dyDescent="0.25">
      <c r="J613" t="s">
        <v>1408</v>
      </c>
      <c r="K613" t="str">
        <f>REPLACE(IF(F2&gt;0,REPLACE(J613,54,8,F2),""),FIND("ABC",J613,1),3,$I$2)</f>
        <v>&lt;em&gt;6.7.6.6. Sweden ABC Market Size and Forecast, by FF (2024-2032)&lt;/em&gt;</v>
      </c>
    </row>
    <row r="614" spans="10:11" x14ac:dyDescent="0.25">
      <c r="J614" t="s">
        <v>1409</v>
      </c>
      <c r="K614" t="str">
        <f>J614</f>
        <v>&lt;strong&gt;&lt;em&gt;6.7.7. Austria&lt;/em&gt;&lt;/strong&gt;</v>
      </c>
    </row>
    <row r="615" spans="10:11" x14ac:dyDescent="0.25">
      <c r="J615" t="s">
        <v>1410</v>
      </c>
      <c r="K615" t="str">
        <f>REPLACE(IF(A2&gt;0,REPLACE(J615,55,8,A2),""),FIND("ABC",J615,1),3,$I$2)</f>
        <v>&lt;em&gt;6.7.7.1. Austria ABC Market Size and Forecast, by AA (2024-2032)&lt;/em&gt;</v>
      </c>
    </row>
    <row r="616" spans="10:11" x14ac:dyDescent="0.25">
      <c r="J616" t="s">
        <v>1411</v>
      </c>
      <c r="K616" t="str">
        <f>REPLACE(IF(B2&gt;0,REPLACE(J616,55,8,B2),""),FIND("ABC",J616,1),3,$I$2)</f>
        <v>&lt;em&gt;6.7.7.2. Austria ABC Market Size and Forecast, by BB (2024-2032)&lt;/em&gt;</v>
      </c>
    </row>
    <row r="617" spans="10:11" x14ac:dyDescent="0.25">
      <c r="J617" t="s">
        <v>1412</v>
      </c>
      <c r="K617" t="str">
        <f>REPLACE(IF(C2&gt;0,REPLACE(J617,55,8,C2),""),FIND("ABC",J617,1),3,$I$2)</f>
        <v>&lt;em&gt;6.7.7.3. Austria ABC Market Size and Forecast, by CC (2024-2032)&lt;/em&gt;</v>
      </c>
    </row>
    <row r="618" spans="10:11" x14ac:dyDescent="0.25">
      <c r="J618" t="s">
        <v>1413</v>
      </c>
      <c r="K618" t="str">
        <f>REPLACE(IF(D2&gt;0,REPLACE(J618,55,8,D2),""),FIND("ABC",J618,1),3,$I$2)</f>
        <v>&lt;em&gt;6.7.7.4. Austria ABC Market Size and Forecast, by DD (2024-2032)&lt;/em&gt;</v>
      </c>
    </row>
    <row r="619" spans="10:11" x14ac:dyDescent="0.25">
      <c r="J619" t="s">
        <v>1414</v>
      </c>
      <c r="K619" t="str">
        <f>REPLACE(IF(E2&gt;0,REPLACE(J619,55,8,E2),""),FIND("ABC",J619,1),3,$I$2)</f>
        <v>&lt;em&gt;6.7.7.5. Austria ABC Market Size and Forecast, by EE (2024-2032)&lt;/em&gt;</v>
      </c>
    </row>
    <row r="620" spans="10:11" x14ac:dyDescent="0.25">
      <c r="J620" t="s">
        <v>1415</v>
      </c>
      <c r="K620" t="str">
        <f>REPLACE(IF(F2&gt;0,REPLACE(J620,55,8,F2),""),FIND("ABC",J620,1),3,$I$2)</f>
        <v>&lt;em&gt;6.7.7.6. Austria ABC Market Size and Forecast, by FF (2024-2032)&lt;/em&gt;</v>
      </c>
    </row>
    <row r="621" spans="10:11" x14ac:dyDescent="0.25">
      <c r="J621" t="s">
        <v>1416</v>
      </c>
      <c r="K621" t="str">
        <f>J621</f>
        <v>&lt;strong&gt;&lt;em&gt;6.7.8. Rest of Europe&lt;/em&gt;&lt;/strong&gt;</v>
      </c>
    </row>
    <row r="622" spans="10:11" x14ac:dyDescent="0.25">
      <c r="J622" t="s">
        <v>1417</v>
      </c>
      <c r="K622" t="str">
        <f>REPLACE(IF(A2&gt;0,REPLACE(J622,62,8,A2),""),FIND("ABC",J622,1),3,$I$2)</f>
        <v>&lt;em&gt;6.7.8.1. Rest of Europe ABC Market Size and Forecast, by AA (2024-2032)&lt;/em&gt;</v>
      </c>
    </row>
    <row r="623" spans="10:11" x14ac:dyDescent="0.25">
      <c r="J623" t="s">
        <v>1418</v>
      </c>
      <c r="K623" t="str">
        <f>REPLACE(IF(B2&gt;0,REPLACE(J623,62,8,B2),""),FIND("ABC",J623,1),3,$I$2)</f>
        <v>&lt;em&gt;6.7.8.2. Rest of Europe ABC Market Size and Forecast, by BB (2024-2032)&lt;/em&gt;</v>
      </c>
    </row>
    <row r="624" spans="10:11" x14ac:dyDescent="0.25">
      <c r="J624" t="s">
        <v>1419</v>
      </c>
      <c r="K624" t="str">
        <f>REPLACE(IF(C2&gt;0,REPLACE(J624,62,8,C2),""),FIND("ABC",J624,1),3,$I$2)</f>
        <v>&lt;em&gt;6.7.8.3. Rest of Europe ABC Market Size and Forecast, by CC (2024-2032)&lt;/em&gt;</v>
      </c>
    </row>
    <row r="625" spans="10:11" x14ac:dyDescent="0.25">
      <c r="J625" t="s">
        <v>1420</v>
      </c>
      <c r="K625" t="str">
        <f>REPLACE(IF(D2&gt;0,REPLACE(J625,62,8,D2),""),FIND("ABC",J625,1),3,$I$2)</f>
        <v>&lt;em&gt;6.7.8.4. Rest of Europe ABC Market Size and Forecast, by DD (2024-2032)&lt;/em&gt;</v>
      </c>
    </row>
    <row r="626" spans="10:11" x14ac:dyDescent="0.25">
      <c r="J626" t="s">
        <v>1421</v>
      </c>
      <c r="K626" t="str">
        <f>REPLACE(IF(E2&gt;0,REPLACE(J626,62,8,E2),""),FIND("ABC",J626,1),3,$I$2)</f>
        <v>&lt;em&gt;6.7.8.5. Rest of Europe ABC Market Size and Forecast, by EE (2024-2032)&lt;/em&gt;</v>
      </c>
    </row>
    <row r="627" spans="10:11" x14ac:dyDescent="0.25">
      <c r="J627" t="s">
        <v>1422</v>
      </c>
      <c r="K627" t="str">
        <f>REPLACE(IF(F2&gt;0,REPLACE(J627,62,8,F2),""),FIND("ABC",J627,1),3,$I$2)</f>
        <v>&lt;em&gt;6.7.8.6. Rest of Europe ABC Market Size and Forecast, by FF (2024-2032)&lt;/em&gt;</v>
      </c>
    </row>
    <row r="629" spans="10:11" x14ac:dyDescent="0.25">
      <c r="J629" t="s">
        <v>922</v>
      </c>
      <c r="K629" t="str">
        <f>REPLACE(J629,FIND("ABC",J629,1),3,$I$2)</f>
        <v>&lt;strong&gt;7. Asia Pacific ABC Market Size and Forecast by Segmentation (by Value in USD Million) 2024-2032&lt;/strong&gt;</v>
      </c>
    </row>
    <row r="630" spans="10:11" x14ac:dyDescent="0.25">
      <c r="J630" t="s">
        <v>923</v>
      </c>
      <c r="K630" t="str">
        <f>REPLACE(IF(A2&gt;0,REPLACE(J630,52,8,A2),""),FIND("ABC",J630,1),3,$I$2)</f>
        <v>7.1. Asia Pacific ABC Market Size and Forecast, by AA (2024-2032)</v>
      </c>
    </row>
    <row r="631" spans="10:11" x14ac:dyDescent="0.25">
      <c r="J631" t="s">
        <v>924</v>
      </c>
      <c r="K631" t="str">
        <f>REPLACE(IF(B2&gt;0,REPLACE(J631,52,8,B2),""),FIND("ABC",J631,1),3,$I$2)</f>
        <v>7.2. Asia Pacific ABC Market Size and Forecast, by BB (2024-2032)</v>
      </c>
    </row>
    <row r="632" spans="10:11" x14ac:dyDescent="0.25">
      <c r="J632" t="s">
        <v>925</v>
      </c>
      <c r="K632" t="str">
        <f>REPLACE(IF(C2&gt;0,REPLACE(J632,52,8,C2),""),FIND("ABC",J632,1),3,$I$2)</f>
        <v>7.3. Asia Pacific ABC Market Size and Forecast, by CC (2024-2032)</v>
      </c>
    </row>
    <row r="633" spans="10:11" x14ac:dyDescent="0.25">
      <c r="J633" t="s">
        <v>926</v>
      </c>
      <c r="K633" t="str">
        <f>REPLACE(IF(D2&gt;0,REPLACE(J633,52,8,D2),""),FIND("ABC",J633,1),3,$I$2)</f>
        <v>7.4. Asia Pacific ABC Market Size and Forecast, by DD (2024-2032)</v>
      </c>
    </row>
    <row r="634" spans="10:11" x14ac:dyDescent="0.25">
      <c r="J634" t="s">
        <v>927</v>
      </c>
      <c r="K634" t="str">
        <f>REPLACE(IF(E2&gt;0,REPLACE(J634,52,8,E2),""),FIND("ABC",J634,1),3,$I$2)</f>
        <v>7.5. Asia Pacific ABC Market Size and Forecast, by EE (2024-2032)</v>
      </c>
    </row>
    <row r="635" spans="10:11" x14ac:dyDescent="0.25">
      <c r="J635" t="s">
        <v>928</v>
      </c>
      <c r="K635" t="str">
        <f>REPLACE(IF(F2&gt;0,REPLACE(J635,52,8,F2),""),FIND("ABC",J635,1),3,$I$2)</f>
        <v>7.6. Asia Pacific ABC Market Size and Forecast, by FF (2024-2032)</v>
      </c>
    </row>
    <row r="636" spans="10:11" x14ac:dyDescent="0.25">
      <c r="J636" t="s">
        <v>1423</v>
      </c>
      <c r="K636" t="str">
        <f>REPLACE(J636,FIND("ABC",J636,1),3,I2)</f>
        <v>7.7. Asia Pacific ABC Market Size and Forecast, by Country (2024-2032)</v>
      </c>
    </row>
    <row r="637" spans="10:11" x14ac:dyDescent="0.25">
      <c r="J637" t="s">
        <v>1424</v>
      </c>
      <c r="K637" t="str">
        <f>J637</f>
        <v>&lt;strong&gt;&lt;em&gt;7.7.1. China&lt;/em&gt;&lt;/strong&gt;</v>
      </c>
    </row>
    <row r="638" spans="10:11" x14ac:dyDescent="0.25">
      <c r="J638" t="s">
        <v>1425</v>
      </c>
      <c r="K638" t="str">
        <f>REPLACE(IF(A2&gt;0,REPLACE(J638,53,8,A2),""),FIND("ABC",J638,1),3,$I$2)</f>
        <v>&lt;em&gt;7.7.1.1. China ABC Market Size and Forecast, by AA (2024-2032)&lt;/em&gt;</v>
      </c>
    </row>
    <row r="639" spans="10:11" x14ac:dyDescent="0.25">
      <c r="J639" t="s">
        <v>1426</v>
      </c>
      <c r="K639" t="str">
        <f>REPLACE(IF(B2&gt;0,REPLACE(J639,53,8,B2),""),FIND("ABC",J639,1),3,$I$2)</f>
        <v>&lt;em&gt;7.7.1.2. China ABC Market Size and Forecast, by BB (2024-2032)&lt;/em&gt;</v>
      </c>
    </row>
    <row r="640" spans="10:11" x14ac:dyDescent="0.25">
      <c r="J640" t="s">
        <v>1427</v>
      </c>
      <c r="K640" t="str">
        <f>REPLACE(IF(C2&gt;0,REPLACE(J640,53,8,C2),""),FIND("ABC",J640,1),3,$I$2)</f>
        <v>&lt;em&gt;7.7.1.3. China ABC Market Size and Forecast, by CC (2024-2032)&lt;/em&gt;</v>
      </c>
    </row>
    <row r="641" spans="10:11" x14ac:dyDescent="0.25">
      <c r="J641" t="s">
        <v>1428</v>
      </c>
      <c r="K641" t="str">
        <f>REPLACE(IF(D2&gt;0,REPLACE(J641,53,8,D2),""),FIND("ABC",J641,1),3,$I$2)</f>
        <v>&lt;em&gt;7.7.1.4. China ABC Market Size and Forecast, by DD (2024-2032)&lt;/em&gt;</v>
      </c>
    </row>
    <row r="642" spans="10:11" x14ac:dyDescent="0.25">
      <c r="J642" t="s">
        <v>1429</v>
      </c>
      <c r="K642" t="str">
        <f>REPLACE(IF(E2&gt;0,REPLACE(J642,53,8,E2),""),FIND("ABC",J642,1),3,$I$2)</f>
        <v>&lt;em&gt;7.7.1.5. China ABC Market Size and Forecast, by EE (2024-2032)&lt;/em&gt;</v>
      </c>
    </row>
    <row r="643" spans="10:11" x14ac:dyDescent="0.25">
      <c r="J643" t="s">
        <v>1430</v>
      </c>
      <c r="K643" t="str">
        <f>REPLACE(IF(F2&gt;0,REPLACE(J643,53,8,F2),""),FIND("ABC",J643,1),3,$I$2)</f>
        <v>&lt;em&gt;7.7.1.6. China ABC Market Size and Forecast, by FF (2024-2032)&lt;/em&gt;</v>
      </c>
    </row>
    <row r="644" spans="10:11" x14ac:dyDescent="0.25">
      <c r="J644" t="s">
        <v>1431</v>
      </c>
      <c r="K644" t="str">
        <f>J644</f>
        <v>&lt;strong&gt;&lt;em&gt;7.7.2. S Korea&lt;/em&gt;&lt;/strong&gt;</v>
      </c>
    </row>
    <row r="645" spans="10:11" x14ac:dyDescent="0.25">
      <c r="J645" t="s">
        <v>1432</v>
      </c>
      <c r="K645" t="str">
        <f>REPLACE(IF(A2&gt;0,REPLACE(J645,55,8,A2),""),FIND("ABC",J645,1),3,$I$2)</f>
        <v>&lt;em&gt;7.7.2.1. S Korea ABC Market Size and Forecast, by AA (2024-2032)&lt;/em&gt;</v>
      </c>
    </row>
    <row r="646" spans="10:11" x14ac:dyDescent="0.25">
      <c r="J646" t="s">
        <v>1433</v>
      </c>
      <c r="K646" t="str">
        <f>REPLACE(IF(B2&gt;0,REPLACE(J646,55,8,B2),""),FIND("ABC",J646,1),3,$I$2)</f>
        <v>&lt;em&gt;7.7.2.2. S Korea ABC Market Size and Forecast, by BB (2024-2032)&lt;/em&gt;</v>
      </c>
    </row>
    <row r="647" spans="10:11" x14ac:dyDescent="0.25">
      <c r="J647" t="s">
        <v>1434</v>
      </c>
      <c r="K647" t="str">
        <f>REPLACE(IF(C2&gt;0,REPLACE(J647,55,8,C2),""),FIND("ABC",J647,1),3,$I$2)</f>
        <v>&lt;em&gt;7.7.2.3. S Korea ABC Market Size and Forecast, by CC (2024-2032)&lt;/em&gt;</v>
      </c>
    </row>
    <row r="648" spans="10:11" x14ac:dyDescent="0.25">
      <c r="J648" t="s">
        <v>1435</v>
      </c>
      <c r="K648" t="str">
        <f>REPLACE(IF(D2&gt;0,REPLACE(J648,55,8,D2),""),FIND("ABC",J648,1),3,$I$2)</f>
        <v>&lt;em&gt;7.7.2.4. S Korea ABC Market Size and Forecast, by DD (2024-2032)&lt;/em&gt;</v>
      </c>
    </row>
    <row r="649" spans="10:11" x14ac:dyDescent="0.25">
      <c r="J649" t="s">
        <v>1436</v>
      </c>
      <c r="K649" t="str">
        <f>REPLACE(IF(E2&gt;0,REPLACE(J649,55,8,E2),""),FIND("ABC",J649,1),3,$I$2)</f>
        <v>&lt;em&gt;7.7.2.5. S Korea ABC Market Size and Forecast, by EE (2024-2032)&lt;/em&gt;</v>
      </c>
    </row>
    <row r="650" spans="10:11" x14ac:dyDescent="0.25">
      <c r="J650" t="s">
        <v>1437</v>
      </c>
      <c r="K650" t="str">
        <f>REPLACE(IF(F2&gt;0,REPLACE(J650,55,8,F2),""),FIND("ABC",J650,1),3,$I$2)</f>
        <v>&lt;em&gt;7.7.2.6. S Korea ABC Market Size and Forecast, by FF (2024-2032)&lt;/em&gt;</v>
      </c>
    </row>
    <row r="651" spans="10:11" x14ac:dyDescent="0.25">
      <c r="J651" t="s">
        <v>1438</v>
      </c>
      <c r="K651" t="str">
        <f>J651</f>
        <v>&lt;strong&gt;&lt;em&gt;7.7.3. Japan&lt;/em&gt;&lt;/strong&gt;</v>
      </c>
    </row>
    <row r="652" spans="10:11" x14ac:dyDescent="0.25">
      <c r="J652" t="s">
        <v>1439</v>
      </c>
      <c r="K652" t="str">
        <f>REPLACE(IF(A2&gt;0,REPLACE(J652,53,8,A2),""),FIND("ABC",J652,1),3,$I$2)</f>
        <v>&lt;em&gt;7.7.3.1. Japan ABC Market Size and Forecast, by AA (2024-2032)&lt;/em&gt;</v>
      </c>
    </row>
    <row r="653" spans="10:11" x14ac:dyDescent="0.25">
      <c r="J653" t="s">
        <v>1440</v>
      </c>
      <c r="K653" t="str">
        <f>REPLACE(IF(B2&gt;0,REPLACE(J653,53,8,B2),""),FIND("ABC",J653,1),3,$I$2)</f>
        <v>&lt;em&gt;7.7.3.2. Japan ABC Market Size and Forecast, by BB (2024-2032)&lt;/em&gt;</v>
      </c>
    </row>
    <row r="654" spans="10:11" x14ac:dyDescent="0.25">
      <c r="J654" t="s">
        <v>1441</v>
      </c>
      <c r="K654" t="str">
        <f>REPLACE(IF(C2&gt;0,REPLACE(J654,53,8,C2),""),FIND("ABC",J654,1),3,$I$2)</f>
        <v>&lt;em&gt;7.7.3.3. Japan ABC Market Size and Forecast, by CC (2024-2032)&lt;/em&gt;</v>
      </c>
    </row>
    <row r="655" spans="10:11" x14ac:dyDescent="0.25">
      <c r="J655" t="s">
        <v>1442</v>
      </c>
      <c r="K655" t="str">
        <f>REPLACE(IF(D2&gt;0,REPLACE(J655,53,8,D2),""),FIND("ABC",J655,1),3,$I$2)</f>
        <v>&lt;em&gt;7.7.3.4. Japan ABC Market Size and Forecast, by DD (2024-2032)&lt;/em&gt;</v>
      </c>
    </row>
    <row r="656" spans="10:11" x14ac:dyDescent="0.25">
      <c r="J656" t="s">
        <v>1443</v>
      </c>
      <c r="K656" t="str">
        <f>REPLACE(IF(E2&gt;0,REPLACE(J656,53,8,E2),""),FIND("ABC",J656,1),3,$I$2)</f>
        <v>&lt;em&gt;7.7.3.5. Japan ABC Market Size and Forecast, by EE (2024-2032)&lt;/em&gt;</v>
      </c>
    </row>
    <row r="657" spans="10:11" x14ac:dyDescent="0.25">
      <c r="J657" t="s">
        <v>1444</v>
      </c>
      <c r="K657" t="str">
        <f>REPLACE(IF(F2&gt;0,REPLACE(J657,53,8,F2),""),FIND("ABC",J657,1),3,$I$2)</f>
        <v>&lt;em&gt;7.7.3.6. Japan ABC Market Size and Forecast, by FF (2024-2032)&lt;/em&gt;</v>
      </c>
    </row>
    <row r="658" spans="10:11" x14ac:dyDescent="0.25">
      <c r="J658" t="s">
        <v>1445</v>
      </c>
      <c r="K658" t="str">
        <f>J658</f>
        <v>&lt;strong&gt;&lt;em&gt;7.7.4. India&lt;/em&gt;&lt;/strong&gt;</v>
      </c>
    </row>
    <row r="659" spans="10:11" x14ac:dyDescent="0.25">
      <c r="J659" t="s">
        <v>1446</v>
      </c>
      <c r="K659" t="str">
        <f>REPLACE(IF(A2&gt;0,REPLACE(J659,53,8,A2),""),FIND("ABC",J659,1),3,$I$2)</f>
        <v>&lt;em&gt;7.7.4.1. India ABC Market Size and Forecast, by AA (2024-2032)&lt;/em&gt;</v>
      </c>
    </row>
    <row r="660" spans="10:11" x14ac:dyDescent="0.25">
      <c r="J660" t="s">
        <v>1447</v>
      </c>
      <c r="K660" t="str">
        <f>REPLACE(IF(B2&gt;0,REPLACE(J660,53,8,B2),""),FIND("ABC",J660,1),3,$I$2)</f>
        <v>&lt;em&gt;7.7.4.2. India ABC Market Size and Forecast, by BB (2024-2032)&lt;/em&gt;</v>
      </c>
    </row>
    <row r="661" spans="10:11" x14ac:dyDescent="0.25">
      <c r="J661" t="s">
        <v>1448</v>
      </c>
      <c r="K661" t="str">
        <f>REPLACE(IF(C2&gt;0,REPLACE(J661,53,8,C2),""),FIND("ABC",J661,1),3,$I$2)</f>
        <v>&lt;em&gt;7.7.4.3. India ABC Market Size and Forecast, by CC (2024-2032)&lt;/em&gt;</v>
      </c>
    </row>
    <row r="662" spans="10:11" x14ac:dyDescent="0.25">
      <c r="J662" t="s">
        <v>1449</v>
      </c>
      <c r="K662" t="str">
        <f>REPLACE(IF(D2&gt;0,REPLACE(J662,53,8,D2),""),FIND("ABC",J662,1),3,$I$2)</f>
        <v>&lt;em&gt;7.7.4.4. India ABC Market Size and Forecast, by DD (2024-2032)&lt;/em&gt;</v>
      </c>
    </row>
    <row r="663" spans="10:11" x14ac:dyDescent="0.25">
      <c r="J663" t="s">
        <v>1450</v>
      </c>
      <c r="K663" t="str">
        <f>REPLACE(IF(E2&gt;0,REPLACE(J663,53,8,E2),""),FIND("ABC",J663,1),3,$I$2)</f>
        <v>&lt;em&gt;7.7.4.5. India ABC Market Size and Forecast, by EE (2024-2032)&lt;/em&gt;</v>
      </c>
    </row>
    <row r="664" spans="10:11" x14ac:dyDescent="0.25">
      <c r="J664" t="s">
        <v>1451</v>
      </c>
      <c r="K664" t="str">
        <f>REPLACE(IF(F2&gt;0,REPLACE(J664,53,8,F2),""),FIND("ABC",J664,1),3,$I$2)</f>
        <v>&lt;em&gt;7.7.4.6. India ABC Market Size and Forecast, by FF (2024-2032)&lt;/em&gt;</v>
      </c>
    </row>
    <row r="665" spans="10:11" x14ac:dyDescent="0.25">
      <c r="J665" t="s">
        <v>1452</v>
      </c>
      <c r="K665" t="str">
        <f>J665</f>
        <v>&lt;strong&gt;&lt;em&gt;7.7.5. Australia&lt;/em&gt;&lt;/strong&gt;</v>
      </c>
    </row>
    <row r="666" spans="10:11" x14ac:dyDescent="0.25">
      <c r="J666" t="s">
        <v>1453</v>
      </c>
      <c r="K666" t="str">
        <f>REPLACE(IF(A2&gt;0,REPLACE(J666,57,8,A2),""),FIND("ABC",J666,1),3,$I$2)</f>
        <v>&lt;em&gt;7.7.5.1. Australia ABC Market Size and Forecast, by AA (2024-2032)&lt;/em&gt;</v>
      </c>
    </row>
    <row r="667" spans="10:11" x14ac:dyDescent="0.25">
      <c r="J667" t="s">
        <v>1454</v>
      </c>
      <c r="K667" t="str">
        <f>REPLACE(IF(B2&gt;0,REPLACE(J667,57,8,B2),""),FIND("ABC",J667,1),3,$I$2)</f>
        <v>&lt;em&gt;7.7.5.2. Australia ABC Market Size and Forecast, by BB (2024-2032)&lt;/em&gt;</v>
      </c>
    </row>
    <row r="668" spans="10:11" x14ac:dyDescent="0.25">
      <c r="J668" t="s">
        <v>1455</v>
      </c>
      <c r="K668" t="str">
        <f>REPLACE(IF(C2&gt;0,REPLACE(J668,57,8,C2),""),FIND("ABC",J668,1),3,$I$2)</f>
        <v>&lt;em&gt;7.7.5.3. Australia ABC Market Size and Forecast, by CC (2024-2032)&lt;/em&gt;</v>
      </c>
    </row>
    <row r="669" spans="10:11" x14ac:dyDescent="0.25">
      <c r="J669" t="s">
        <v>1456</v>
      </c>
      <c r="K669" t="str">
        <f>REPLACE(IF(D2&gt;0,REPLACE(J669,57,8,D2),""),FIND("ABC",J669,1),3,$I$2)</f>
        <v>&lt;em&gt;7.7.5.4. Australia ABC Market Size and Forecast, by DD (2024-2032)&lt;/em&gt;</v>
      </c>
    </row>
    <row r="670" spans="10:11" x14ac:dyDescent="0.25">
      <c r="J670" t="s">
        <v>1457</v>
      </c>
      <c r="K670" t="str">
        <f>REPLACE(IF(E2&gt;0,REPLACE(J670,57,8,E2),""),FIND("ABC",J670,1),3,$I$2)</f>
        <v>&lt;em&gt;7.7.5.5. Australia ABC Market Size and Forecast, by EE (2024-2032)&lt;/em&gt;</v>
      </c>
    </row>
    <row r="671" spans="10:11" x14ac:dyDescent="0.25">
      <c r="J671" t="s">
        <v>1458</v>
      </c>
      <c r="K671" t="str">
        <f>REPLACE(IF(F2&gt;0,REPLACE(J671,57,8,F2),""),FIND("ABC",J671,1),3,$I$2)</f>
        <v>&lt;em&gt;7.7.5.6. Australia ABC Market Size and Forecast, by FF (2024-2032)&lt;/em&gt;</v>
      </c>
    </row>
    <row r="672" spans="10:11" x14ac:dyDescent="0.25">
      <c r="J672" t="s">
        <v>1459</v>
      </c>
      <c r="K672" t="str">
        <f>J672</f>
        <v>&lt;strong&gt;&lt;em&gt;7.7.6. Indonesia&lt;/em&gt;&lt;/strong&gt;</v>
      </c>
    </row>
    <row r="673" spans="10:11" x14ac:dyDescent="0.25">
      <c r="J673" t="s">
        <v>1460</v>
      </c>
      <c r="K673" t="str">
        <f>REPLACE(IF(A2&gt;0,REPLACE(J673,57,8,A2),""),FIND("ABC",J673,1),3,$I$2)</f>
        <v>&lt;em&gt;7.7.6.1. Indonesia ABC Market Size and Forecast, by AA (2024-2032)&lt;/em&gt;</v>
      </c>
    </row>
    <row r="674" spans="10:11" x14ac:dyDescent="0.25">
      <c r="J674" t="s">
        <v>1461</v>
      </c>
      <c r="K674" t="str">
        <f>REPLACE(IF(B2&gt;0,REPLACE(J674,57,8,B2),""),FIND("ABC",J674,1),3,$I$2)</f>
        <v>&lt;em&gt;7.7.6.2. Indonesia ABC Market Size and Forecast, by BB (2024-2032)&lt;/em&gt;</v>
      </c>
    </row>
    <row r="675" spans="10:11" x14ac:dyDescent="0.25">
      <c r="J675" t="s">
        <v>1462</v>
      </c>
      <c r="K675" t="str">
        <f>REPLACE(IF(C2&gt;0,REPLACE(J675,57,8,C2),""),FIND("ABC",J675,1),3,$I$2)</f>
        <v>&lt;em&gt;7.7.6.3. Indonesia ABC Market Size and Forecast, by CC (2024-2032)&lt;/em&gt;</v>
      </c>
    </row>
    <row r="676" spans="10:11" x14ac:dyDescent="0.25">
      <c r="J676" t="s">
        <v>1463</v>
      </c>
      <c r="K676" t="str">
        <f>REPLACE(IF(D2&gt;0,REPLACE(J676,57,8,D2),""),FIND("ABC",J676,1),3,$I$2)</f>
        <v>&lt;em&gt;7.7.6.4. Indonesia ABC Market Size and Forecast, by DD (2024-2032)&lt;/em&gt;</v>
      </c>
    </row>
    <row r="677" spans="10:11" x14ac:dyDescent="0.25">
      <c r="J677" t="s">
        <v>1464</v>
      </c>
      <c r="K677" t="str">
        <f>REPLACE(IF(E2&gt;0,REPLACE(J677,57,8,E2),""),FIND("ABC",J677,1),3,$I$2)</f>
        <v>&lt;em&gt;7.7.6.5. Indonesia ABC Market Size and Forecast, by EE (2024-2032)&lt;/em&gt;</v>
      </c>
    </row>
    <row r="678" spans="10:11" x14ac:dyDescent="0.25">
      <c r="J678" t="s">
        <v>1465</v>
      </c>
      <c r="K678" t="str">
        <f>REPLACE(IF(F2&gt;0,REPLACE(J678,57,8,F2),""),FIND("ABC",J678,1),3,$I$2)</f>
        <v>&lt;em&gt;7.7.6.6. Indonesia ABC Market Size and Forecast, by FF (2024-2032)&lt;/em&gt;</v>
      </c>
    </row>
    <row r="679" spans="10:11" x14ac:dyDescent="0.25">
      <c r="J679" t="s">
        <v>1466</v>
      </c>
      <c r="K679" t="str">
        <f>J679</f>
        <v>&lt;strong&gt;&lt;em&gt;7.7.7. Malaysia&lt;/em&gt;&lt;/strong&gt;</v>
      </c>
    </row>
    <row r="680" spans="10:11" x14ac:dyDescent="0.25">
      <c r="J680" t="s">
        <v>1467</v>
      </c>
      <c r="K680" t="str">
        <f>REPLACE(IF(A2&gt;0,REPLACE(J680,56,8,A2),""),FIND("ABC",J680,1),3,$I$2)</f>
        <v>&lt;em&gt;7.7.7.1. Malaysia ABC Market Size and Forecast, by AA (2024-2032)&lt;/em&gt;</v>
      </c>
    </row>
    <row r="681" spans="10:11" x14ac:dyDescent="0.25">
      <c r="J681" t="s">
        <v>1468</v>
      </c>
      <c r="K681" t="str">
        <f>REPLACE(IF(B2&gt;0,REPLACE(J681,56,8,B2),""),FIND("ABC",J681,1),3,$I$2)</f>
        <v>&lt;em&gt;7.7.7.2. Malaysia ABC Market Size and Forecast, by BB (2024-2032)&lt;/em&gt;</v>
      </c>
    </row>
    <row r="682" spans="10:11" x14ac:dyDescent="0.25">
      <c r="J682" t="s">
        <v>1469</v>
      </c>
      <c r="K682" t="str">
        <f>REPLACE(IF(C2&gt;0,REPLACE(J682,56,8,C2),""),FIND("ABC",J682,1),3,$I$2)</f>
        <v>&lt;em&gt;7.7.7.3. Malaysia ABC Market Size and Forecast, by CC (2024-2032)&lt;/em&gt;</v>
      </c>
    </row>
    <row r="683" spans="10:11" x14ac:dyDescent="0.25">
      <c r="J683" t="s">
        <v>1470</v>
      </c>
      <c r="K683" t="str">
        <f>REPLACE(IF(D2&gt;0,REPLACE(J683,56,8,D2),""),FIND("ABC",J683,1),3,$I$2)</f>
        <v>&lt;em&gt;7.7.7.4. Malaysia ABC Market Size and Forecast, by DD (2024-2032)&lt;/em&gt;</v>
      </c>
    </row>
    <row r="684" spans="10:11" x14ac:dyDescent="0.25">
      <c r="J684" t="s">
        <v>1471</v>
      </c>
      <c r="K684" t="str">
        <f>REPLACE(IF(E2&gt;0,REPLACE(J684,56,8,E2),""),FIND("ABC",J684,1),3,$I$2)</f>
        <v>&lt;em&gt;7.7.7.5. Malaysia ABC Market Size and Forecast, by EE (2024-2032)&lt;/em&gt;</v>
      </c>
    </row>
    <row r="685" spans="10:11" x14ac:dyDescent="0.25">
      <c r="J685" t="s">
        <v>1472</v>
      </c>
      <c r="K685" t="str">
        <f>REPLACE(IF(F2&gt;0,REPLACE(J685,56,8,F2),""),FIND("ABC",J685,1),3,$I$2)</f>
        <v>&lt;em&gt;7.7.7.6. Malaysia ABC Market Size and Forecast, by FF (2024-2032)&lt;/em&gt;</v>
      </c>
    </row>
    <row r="686" spans="10:11" x14ac:dyDescent="0.25">
      <c r="J686" t="s">
        <v>1473</v>
      </c>
      <c r="K686" t="str">
        <f>J686</f>
        <v>&lt;strong&gt;&lt;em&gt;7.7.8. Vietnam&lt;/em&gt;&lt;/strong&gt;</v>
      </c>
    </row>
    <row r="687" spans="10:11" x14ac:dyDescent="0.25">
      <c r="J687" t="s">
        <v>1474</v>
      </c>
      <c r="K687" t="str">
        <f>REPLACE(IF(A2&gt;0,REPLACE(J687,55,8,A2),""),FIND("ABC",J687,1),3,$I$2)</f>
        <v>&lt;em&gt;7.7.8.1. Vietnam ABC Market Size and Forecast, by AA (2024-2032)&lt;/em&gt;</v>
      </c>
    </row>
    <row r="688" spans="10:11" x14ac:dyDescent="0.25">
      <c r="J688" t="s">
        <v>1475</v>
      </c>
      <c r="K688" t="str">
        <f>REPLACE(IF(B2&gt;0,REPLACE(J688,55,8,B2),""),FIND("ABC",J688,1),3,$I$2)</f>
        <v>&lt;em&gt;7.7.8.2. Vietnam ABC Market Size and Forecast, by BB (2024-2032)&lt;/em&gt;</v>
      </c>
    </row>
    <row r="689" spans="10:11" x14ac:dyDescent="0.25">
      <c r="J689" t="s">
        <v>1476</v>
      </c>
      <c r="K689" t="str">
        <f>REPLACE(IF(C2&gt;0,REPLACE(J689,55,8,C2),""),FIND("ABC",J689,1),3,$I$2)</f>
        <v>&lt;em&gt;7.7.8.3. Vietnam ABC Market Size and Forecast, by CC (2024-2032)&lt;/em&gt;</v>
      </c>
    </row>
    <row r="690" spans="10:11" x14ac:dyDescent="0.25">
      <c r="J690" t="s">
        <v>1477</v>
      </c>
      <c r="K690" t="str">
        <f>REPLACE(IF(D2&gt;0,REPLACE(J690,55,8,D2),""),FIND("ABC",J690,1),3,$I$2)</f>
        <v>&lt;em&gt;7.7.8.4. Vietnam ABC Market Size and Forecast, by DD (2024-2032)&lt;/em&gt;</v>
      </c>
    </row>
    <row r="691" spans="10:11" x14ac:dyDescent="0.25">
      <c r="J691" t="s">
        <v>1478</v>
      </c>
      <c r="K691" t="str">
        <f>REPLACE(IF(E2&gt;0,REPLACE(J691,55,8,E2),""),FIND("ABC",J691,1),3,$I$2)</f>
        <v>&lt;em&gt;7.7.8.5. Vietnam ABC Market Size and Forecast, by EE (2024-2032)&lt;/em&gt;</v>
      </c>
    </row>
    <row r="692" spans="10:11" x14ac:dyDescent="0.25">
      <c r="J692" t="s">
        <v>1479</v>
      </c>
      <c r="K692" t="str">
        <f>REPLACE(IF(F2&gt;0,REPLACE(J692,55,8,F2),""),FIND("ABC",J692,1),3,$I$2)</f>
        <v>&lt;em&gt;7.7.8.6. Vietnam ABC Market Size and Forecast, by FF (2024-2032)&lt;/em&gt;</v>
      </c>
    </row>
    <row r="693" spans="10:11" x14ac:dyDescent="0.25">
      <c r="J693" t="s">
        <v>1480</v>
      </c>
      <c r="K693" t="str">
        <f>J693</f>
        <v>&lt;strong&gt;&lt;em&gt;7.7.9. Taiwan&lt;/em&gt;&lt;/strong&gt;</v>
      </c>
    </row>
    <row r="694" spans="10:11" x14ac:dyDescent="0.25">
      <c r="J694" t="s">
        <v>1481</v>
      </c>
      <c r="K694" t="str">
        <f>REPLACE(IF(A2&gt;0,REPLACE(J694,54,8,A2),""),FIND("ABC",J694,1),3,$I$2)</f>
        <v>&lt;em&gt;7.7.9.1. Taiwan ABC Market Size and Forecast, by AA (2024-2032)&lt;/em&gt;</v>
      </c>
    </row>
    <row r="695" spans="10:11" x14ac:dyDescent="0.25">
      <c r="J695" t="s">
        <v>1482</v>
      </c>
      <c r="K695" t="str">
        <f>REPLACE(IF(B2&gt;0,REPLACE(J695,54,8,B2),""),FIND("ABC",J695,1),3,$I$2)</f>
        <v>&lt;em&gt;7.7.9.2. Taiwan ABC Market Size and Forecast, by BB (2024-2032)&lt;/em&gt;</v>
      </c>
    </row>
    <row r="696" spans="10:11" x14ac:dyDescent="0.25">
      <c r="J696" t="s">
        <v>1483</v>
      </c>
      <c r="K696" t="str">
        <f>REPLACE(IF(C2&gt;0,REPLACE(J696,54,8,C2),""),FIND("ABC",J696,1),3,$I$2)</f>
        <v>&lt;em&gt;7.7.9.3. Taiwan ABC Market Size and Forecast, by CC (2024-2032)&lt;/em&gt;</v>
      </c>
    </row>
    <row r="697" spans="10:11" x14ac:dyDescent="0.25">
      <c r="J697" t="s">
        <v>1484</v>
      </c>
      <c r="K697" t="str">
        <f>REPLACE(IF(D2&gt;0,REPLACE(J697,54,8,D2),""),FIND("ABC",J697,1),3,$I$2)</f>
        <v>&lt;em&gt;7.7.9.4. Taiwan ABC Market Size and Forecast, by DD (2024-2032)&lt;/em&gt;</v>
      </c>
    </row>
    <row r="698" spans="10:11" x14ac:dyDescent="0.25">
      <c r="J698" t="s">
        <v>1485</v>
      </c>
      <c r="K698" t="str">
        <f>REPLACE(IF(E2&gt;0,REPLACE(J698,54,8,E2),""),FIND("ABC",J698,1),3,$I$2)</f>
        <v>&lt;em&gt;7.7.9.5. Taiwan ABC Market Size and Forecast, by EE (2024-2032)&lt;/em&gt;</v>
      </c>
    </row>
    <row r="699" spans="10:11" x14ac:dyDescent="0.25">
      <c r="J699" t="s">
        <v>1486</v>
      </c>
      <c r="K699" t="str">
        <f>REPLACE(IF(F2&gt;0,REPLACE(J699,54,8,F2),""),FIND("ABC",J699,1),3,$I$2)</f>
        <v>&lt;em&gt;7.7.9.6. Taiwan ABC Market Size and Forecast, by FF (2024-2032)&lt;/em&gt;</v>
      </c>
    </row>
    <row r="700" spans="10:11" x14ac:dyDescent="0.25">
      <c r="J700" t="s">
        <v>1487</v>
      </c>
      <c r="K700" t="str">
        <f>J700</f>
        <v>&lt;strong&gt;&lt;em&gt;7.7.10. Rest of Asia Pacific&lt;/em&gt;&lt;/strong&gt;</v>
      </c>
    </row>
    <row r="701" spans="10:11" x14ac:dyDescent="0.25">
      <c r="J701" t="s">
        <v>1488</v>
      </c>
      <c r="K701" t="str">
        <f>REPLACE(IF(A2&gt;0,REPLACE(J701,69,8,A2),""),FIND("ABC",J701,1),3,$I$2)</f>
        <v>&lt;em&gt;7.7.10.1. Rest of Asia Pacific ABC Market Size and Forecast, by AA (2024-2032)&lt;/em&gt;</v>
      </c>
    </row>
    <row r="702" spans="10:11" x14ac:dyDescent="0.25">
      <c r="J702" t="s">
        <v>1489</v>
      </c>
      <c r="K702" t="str">
        <f>REPLACE(IF(B2&gt;0,REPLACE(J702,69,8,B2),""),FIND("ABC",J702,1),3,$I$2)</f>
        <v>&lt;em&gt;7.7.10.2. Rest of Asia Pacific ABC Market Size and Forecast, by BB (2024-2032)&lt;/em&gt;</v>
      </c>
    </row>
    <row r="703" spans="10:11" x14ac:dyDescent="0.25">
      <c r="J703" t="s">
        <v>1490</v>
      </c>
      <c r="K703" t="str">
        <f>REPLACE(IF(C2&gt;0,REPLACE(J703,69,8,C2),""),FIND("ABC",J703,1),3,$I$2)</f>
        <v>&lt;em&gt;7.7.10.3. Rest of Asia Pacific ABC Market Size and Forecast, by CC (2024-2032)&lt;/em&gt;</v>
      </c>
    </row>
    <row r="704" spans="10:11" x14ac:dyDescent="0.25">
      <c r="J704" t="s">
        <v>1491</v>
      </c>
      <c r="K704" t="str">
        <f>REPLACE(IF(D2&gt;0,REPLACE(J704,69,8,D2),""),FIND("ABC",J704,1),3,$I$2)</f>
        <v>&lt;em&gt;7.7.10.4. Rest of Asia Pacific ABC Market Size and Forecast, by DD (2024-2032)&lt;/em&gt;</v>
      </c>
    </row>
    <row r="705" spans="10:11" x14ac:dyDescent="0.25">
      <c r="J705" t="s">
        <v>1492</v>
      </c>
      <c r="K705" t="str">
        <f>REPLACE(IF(E2&gt;0,REPLACE(J705,69,8,E2),""),FIND("ABC",J705,1),3,$I$2)</f>
        <v>&lt;em&gt;7.7.10.5. Rest of Asia Pacific ABC Market Size and Forecast, by EE (2024-2032)&lt;/em&gt;</v>
      </c>
    </row>
    <row r="706" spans="10:11" x14ac:dyDescent="0.25">
      <c r="J706" t="s">
        <v>1493</v>
      </c>
      <c r="K706" t="str">
        <f>REPLACE(IF(F2&gt;0,REPLACE(J706,69,8,F2),""),FIND("ABC",J706,1),3,$I$2)</f>
        <v>&lt;em&gt;7.7.10.6. Rest of Asia Pacific ABC Market Size and Forecast, by FF (2024-2032)&lt;/em&gt;</v>
      </c>
    </row>
    <row r="708" spans="10:11" x14ac:dyDescent="0.25">
      <c r="J708" t="s">
        <v>1001</v>
      </c>
      <c r="K708" t="str">
        <f>REPLACE(J708,FIND("ABC",J708,1),3,I2)</f>
        <v>&lt;strong&gt;8. Middle East and Africa ABC Market Size and Forecast by Segmentation (by Value in USD Million) 2024-2032&lt;/strong&gt;</v>
      </c>
    </row>
    <row r="709" spans="10:11" x14ac:dyDescent="0.25">
      <c r="J709" t="s">
        <v>1002</v>
      </c>
      <c r="K709" t="str">
        <f>REPLACE(IF(A2&gt;0,REPLACE(J709,62,8,A2),""),FIND("ABC",J709,1),3,$I$2)</f>
        <v>8.1. Middle East and Africa ABC Market Size and Forecast, by AA (2024-2032)</v>
      </c>
    </row>
    <row r="710" spans="10:11" x14ac:dyDescent="0.25">
      <c r="J710" t="s">
        <v>1003</v>
      </c>
      <c r="K710" t="str">
        <f>REPLACE(IF(B2&gt;0,REPLACE(J710,62,8,B2),""),FIND("ABC",J710,1),3,$I$2)</f>
        <v>8.2. Middle East and Africa ABC Market Size and Forecast, by BB (2024-2032)</v>
      </c>
    </row>
    <row r="711" spans="10:11" x14ac:dyDescent="0.25">
      <c r="J711" t="s">
        <v>1004</v>
      </c>
      <c r="K711" t="str">
        <f>REPLACE(IF(C2&gt;0,REPLACE(J711,62,8,C2),""),FIND("ABC",J711,1),3,$I$2)</f>
        <v>8.3. Middle East and Africa ABC Market Size and Forecast, by CC (2024-2032)</v>
      </c>
    </row>
    <row r="712" spans="10:11" x14ac:dyDescent="0.25">
      <c r="J712" t="s">
        <v>1005</v>
      </c>
      <c r="K712" t="str">
        <f>REPLACE(IF(D2&gt;0,REPLACE(J712,62,8,D2),""),FIND("ABC",J712,1),3,$I$2)</f>
        <v>8.4. Middle East and Africa ABC Market Size and Forecast, by DD (2024-2032)</v>
      </c>
    </row>
    <row r="713" spans="10:11" x14ac:dyDescent="0.25">
      <c r="J713" t="s">
        <v>1006</v>
      </c>
      <c r="K713" t="str">
        <f>REPLACE(IF(E2&gt;0,REPLACE(J713,62,8,E2),""),FIND("ABC",J713,1),3,$I$2)</f>
        <v>8.5. Middle East and Africa ABC Market Size and Forecast, by EE (2024-2032)</v>
      </c>
    </row>
    <row r="714" spans="10:11" x14ac:dyDescent="0.25">
      <c r="J714" t="s">
        <v>1007</v>
      </c>
      <c r="K714" t="str">
        <f>REPLACE(IF(F2&gt;0,REPLACE(J714,62,8,F2),""),FIND("ABC",J714,1),3,$I$2)</f>
        <v>8.6. Middle East and Africa ABC Market Size and Forecast, by FF (2024-2032)</v>
      </c>
    </row>
    <row r="715" spans="10:11" x14ac:dyDescent="0.25">
      <c r="J715" t="s">
        <v>1494</v>
      </c>
      <c r="K715" t="str">
        <f>REPLACE(J715,FIND("ABC",J715,1),3,$I$2)</f>
        <v>8.7. Middle East and Africa ABC Market Size and Forecast, by Country (2024-2032)</v>
      </c>
    </row>
    <row r="716" spans="10:11" x14ac:dyDescent="0.25">
      <c r="J716" t="s">
        <v>1495</v>
      </c>
      <c r="K716" t="str">
        <f>J716</f>
        <v>&lt;strong&gt;&lt;em&gt;8.7.1. South Africa&lt;/em&gt;&lt;/strong&gt;</v>
      </c>
    </row>
    <row r="717" spans="10:11" x14ac:dyDescent="0.25">
      <c r="J717" t="s">
        <v>1496</v>
      </c>
      <c r="K717" t="str">
        <f>REPLACE(IF(A2&gt;0,REPLACE(J717,60,8,A2),""),FIND("ABC",J717,1),3,$I$2)</f>
        <v>&lt;em&gt;8.7.1.1. South Africa ABC Market Size and Forecast, by AA (2024-2032)&lt;/em&gt;</v>
      </c>
    </row>
    <row r="718" spans="10:11" x14ac:dyDescent="0.25">
      <c r="J718" t="s">
        <v>1497</v>
      </c>
      <c r="K718" t="str">
        <f>REPLACE(IF(B2&gt;0,REPLACE(J718,60,8,B2),""),FIND("ABC",J718,1),3,$I$2)</f>
        <v>&lt;em&gt;8.7.1.2. South Africa ABC Market Size and Forecast, by BB (2024-2032)&lt;/em&gt;</v>
      </c>
    </row>
    <row r="719" spans="10:11" x14ac:dyDescent="0.25">
      <c r="J719" t="s">
        <v>1498</v>
      </c>
      <c r="K719" t="str">
        <f>REPLACE(IF(C2&gt;0,REPLACE(J719,60,8,C2),""),FIND("ABC",J719,1),3,$I$2)</f>
        <v>&lt;em&gt;8.7.1.3. South Africa ABC Market Size and Forecast, by CC (2024-2032)&lt;/em&gt;</v>
      </c>
    </row>
    <row r="720" spans="10:11" x14ac:dyDescent="0.25">
      <c r="J720" t="s">
        <v>1499</v>
      </c>
      <c r="K720" t="str">
        <f>REPLACE(IF(D2&gt;0,REPLACE(J720,60,8,D2),""),FIND("ABC",J720,1),3,$I$2)</f>
        <v>&lt;em&gt;8.7.1.4. South Africa ABC Market Size and Forecast, by DD (2024-2032)&lt;/em&gt;</v>
      </c>
    </row>
    <row r="721" spans="10:11" x14ac:dyDescent="0.25">
      <c r="J721" t="s">
        <v>1500</v>
      </c>
      <c r="K721" t="str">
        <f>REPLACE(IF(E2&gt;0,REPLACE(J721,60,8,E2),""),FIND("ABC",J721,1),3,$I$2)</f>
        <v>&lt;em&gt;8.7.1.5. South Africa ABC Market Size and Forecast, by EE (2024-2032)&lt;/em&gt;</v>
      </c>
    </row>
    <row r="722" spans="10:11" x14ac:dyDescent="0.25">
      <c r="J722" t="s">
        <v>1501</v>
      </c>
      <c r="K722" t="str">
        <f>REPLACE(IF(F2&gt;0,REPLACE(J722,60,8,F2),""),FIND("ABC",J722,1),3,$I$2)</f>
        <v>&lt;em&gt;8.7.1.6. South Africa ABC Market Size and Forecast, by FF (2024-2032)&lt;/em&gt;</v>
      </c>
    </row>
    <row r="723" spans="10:11" x14ac:dyDescent="0.25">
      <c r="J723" t="s">
        <v>1502</v>
      </c>
      <c r="K723" t="str">
        <f>J723</f>
        <v>&lt;strong&gt;&lt;em&gt;8.7.2. GCC&lt;/em&gt;&lt;/strong&gt;</v>
      </c>
    </row>
    <row r="724" spans="10:11" x14ac:dyDescent="0.25">
      <c r="J724" t="s">
        <v>1503</v>
      </c>
      <c r="K724" t="str">
        <f>REPLACE(IF(A2&gt;0,REPLACE(J724,51,8,A2),""),FIND("ABC",J724,1),3,$I$2)</f>
        <v>&lt;em&gt;8.7.2.1. GCC ABC Market Size and Forecast, by AA (2024-2032)&lt;/em&gt;</v>
      </c>
    </row>
    <row r="725" spans="10:11" x14ac:dyDescent="0.25">
      <c r="J725" t="s">
        <v>1504</v>
      </c>
      <c r="K725" t="str">
        <f>REPLACE(IF(B2&gt;0,REPLACE(J725,51,8,B2),""),FIND("ABC",J725,1),3,$I$2)</f>
        <v>&lt;em&gt;8.7.2.2. GCC ABC Market Size and Forecast, by BB (2024-2032)&lt;/em&gt;</v>
      </c>
    </row>
    <row r="726" spans="10:11" x14ac:dyDescent="0.25">
      <c r="J726" t="s">
        <v>1505</v>
      </c>
      <c r="K726" t="str">
        <f>REPLACE(IF(C2&gt;0,REPLACE(J726,51,8,C2),""),FIND("ABC",J726,1),3,$I$2)</f>
        <v>&lt;em&gt;8.7.2.3. GCC ABC Market Size and Forecast, by CC (2024-2032)&lt;/em&gt;</v>
      </c>
    </row>
    <row r="727" spans="10:11" x14ac:dyDescent="0.25">
      <c r="J727" t="s">
        <v>1506</v>
      </c>
      <c r="K727" t="str">
        <f>REPLACE(IF(D2&gt;0,REPLACE(J727,51,8,D2),""),FIND("ABC",J727,1),3,$I$2)</f>
        <v>&lt;em&gt;8.7.2.4. GCC ABC Market Size and Forecast, by DD (2024-2032)&lt;/em&gt;</v>
      </c>
    </row>
    <row r="728" spans="10:11" x14ac:dyDescent="0.25">
      <c r="J728" t="s">
        <v>1507</v>
      </c>
      <c r="K728" t="str">
        <f>REPLACE(IF(E2&gt;0,REPLACE(J728,51,8,E2),""),FIND("ABC",J728,1),3,$I$2)</f>
        <v>&lt;em&gt;8.7.2.5. GCC ABC Market Size and Forecast, by EE (2024-2032)&lt;/em&gt;</v>
      </c>
    </row>
    <row r="729" spans="10:11" x14ac:dyDescent="0.25">
      <c r="J729" t="s">
        <v>1508</v>
      </c>
      <c r="K729" t="str">
        <f>REPLACE(IF(F2&gt;0,REPLACE(J729,51,8,F2),""),FIND("ABC",J729,1),3,$I$2)</f>
        <v>&lt;em&gt;8.7.2.6. GCC ABC Market Size and Forecast, by FF (2024-2032)&lt;/em&gt;</v>
      </c>
    </row>
    <row r="730" spans="10:11" x14ac:dyDescent="0.25">
      <c r="J730" t="s">
        <v>1509</v>
      </c>
      <c r="K730" t="str">
        <f>J730</f>
        <v>&lt;strong&gt;&lt;em&gt;8.7.3. Nigeria&lt;/em&gt;&lt;/strong&gt;</v>
      </c>
    </row>
    <row r="731" spans="10:11" x14ac:dyDescent="0.25">
      <c r="J731" t="s">
        <v>1510</v>
      </c>
      <c r="K731" t="str">
        <f>REPLACE(IF(A2&gt;0,REPLACE(J731,55,8,A2),""),FIND("ABC",J731,1),3,$I$2)</f>
        <v>&lt;em&gt;8.7.3.1. Nigeria ABC Market Size and Forecast, by AA (2024-2032)&lt;/em&gt;</v>
      </c>
    </row>
    <row r="732" spans="10:11" x14ac:dyDescent="0.25">
      <c r="J732" t="s">
        <v>1511</v>
      </c>
      <c r="K732" t="str">
        <f>REPLACE(IF(B2&gt;0,REPLACE(J732,55,8,B2),""),FIND("ABC",J732,1),3,$I$2)</f>
        <v>&lt;em&gt;8.7.3.2. Nigeria ABC Market Size and Forecast, by BB (2024-2032)&lt;/em&gt;</v>
      </c>
    </row>
    <row r="733" spans="10:11" x14ac:dyDescent="0.25">
      <c r="J733" t="s">
        <v>1512</v>
      </c>
      <c r="K733" t="str">
        <f>REPLACE(IF(C2&gt;0,REPLACE(J733,55,8,C2),""),FIND("ABC",J733,1),3,$I$2)</f>
        <v>&lt;em&gt;8.7.3.3. Nigeria ABC Market Size and Forecast, by CC (2024-2032)&lt;/em&gt;</v>
      </c>
    </row>
    <row r="734" spans="10:11" x14ac:dyDescent="0.25">
      <c r="J734" t="s">
        <v>1513</v>
      </c>
      <c r="K734" t="str">
        <f>REPLACE(IF(D2&gt;0,REPLACE(J734,55,8,D2),""),FIND("ABC",J734,1),3,$I$2)</f>
        <v>&lt;em&gt;8.7.3.4. Nigeria ABC Market Size and Forecast, by DD (2024-2032)&lt;/em&gt;</v>
      </c>
    </row>
    <row r="735" spans="10:11" x14ac:dyDescent="0.25">
      <c r="J735" t="s">
        <v>1514</v>
      </c>
      <c r="K735" t="str">
        <f>REPLACE(IF(E2&gt;0,REPLACE(J735,55,8,E2),""),FIND("ABC",J735,1),3,$I$2)</f>
        <v>&lt;em&gt;8.7.3.5. Nigeria ABC Market Size and Forecast, by EE (2024-2032)&lt;/em&gt;</v>
      </c>
    </row>
    <row r="736" spans="10:11" x14ac:dyDescent="0.25">
      <c r="J736" t="s">
        <v>1515</v>
      </c>
      <c r="K736" t="str">
        <f>REPLACE(IF(F2&gt;0,REPLACE(J736,55,8,F2),""),FIND("ABC",J736,1),3,$I$2)</f>
        <v>&lt;em&gt;8.7.3.6. Nigeria ABC Market Size and Forecast, by FF (2024-2032)&lt;/em&gt;</v>
      </c>
    </row>
    <row r="737" spans="10:11" x14ac:dyDescent="0.25">
      <c r="J737" t="s">
        <v>1516</v>
      </c>
      <c r="K737" t="str">
        <f>J737</f>
        <v>&lt;strong&gt;&lt;em&gt;8.7.4. Rest of ME&amp;amp;A&lt;/em&gt;&lt;/strong&gt;</v>
      </c>
    </row>
    <row r="738" spans="10:11" x14ac:dyDescent="0.25">
      <c r="J738" t="s">
        <v>1517</v>
      </c>
      <c r="K738" t="str">
        <f>REPLACE(IF(A2&gt;0,REPLACE(J738,64,8,A2),""),FIND("ABC",J738,1),3,$I$2)</f>
        <v>&lt;em&gt;8.7.4.1. Rest of ME&amp;amp;A ABC Market Size and Forecast, by AA (2024-2032)&lt;/em&gt;</v>
      </c>
    </row>
    <row r="739" spans="10:11" x14ac:dyDescent="0.25">
      <c r="J739" t="s">
        <v>1518</v>
      </c>
      <c r="K739" t="str">
        <f>REPLACE(IF(B2&gt;0,REPLACE(J739,64,8,B2),""),FIND("ABC",J739,1),3,$I$2)</f>
        <v>&lt;em&gt;8.7.4.2. Rest of ME&amp;amp;A ABC Market Size and Forecast, by BB (2024-2032)&lt;/em&gt;</v>
      </c>
    </row>
    <row r="740" spans="10:11" x14ac:dyDescent="0.25">
      <c r="J740" t="s">
        <v>1519</v>
      </c>
      <c r="K740" t="str">
        <f>REPLACE(IF(C2&gt;0,REPLACE(J740,64,8,C2),""),FIND("ABC",J740,1),3,$I$2)</f>
        <v>&lt;em&gt;8.7.4.3. Rest of ME&amp;amp;A ABC Market Size and Forecast, by CC (2024-2032)&lt;/em&gt;</v>
      </c>
    </row>
    <row r="741" spans="10:11" x14ac:dyDescent="0.25">
      <c r="J741" t="s">
        <v>1520</v>
      </c>
      <c r="K741" t="str">
        <f>REPLACE(IF(D2&gt;0,REPLACE(J741,64,8,D2),""),FIND("ABC",J741,1),3,$I$2)</f>
        <v>&lt;em&gt;8.7.4.4. Rest of ME&amp;amp;A ABC Market Size and Forecast, by DD (2024-2032)&lt;/em&gt;</v>
      </c>
    </row>
    <row r="742" spans="10:11" x14ac:dyDescent="0.25">
      <c r="J742" t="s">
        <v>1521</v>
      </c>
      <c r="K742" t="str">
        <f>REPLACE(IF(E2&gt;0,REPLACE(J742,64,8,E2),""),FIND("ABC",J742,1),3,$I$2)</f>
        <v>&lt;em&gt;8.7.4.5. Rest of ME&amp;amp;A ABC Market Size and Forecast, by EE (2024-2032)&lt;/em&gt;</v>
      </c>
    </row>
    <row r="743" spans="10:11" x14ac:dyDescent="0.25">
      <c r="J743" t="s">
        <v>1522</v>
      </c>
      <c r="K743" t="str">
        <f>REPLACE(IF(F2&gt;0,REPLACE(J743,64,8,F2),""),FIND("ABC",J743,1),3,$I$2)</f>
        <v>&lt;em&gt;8.7.4.6. Rest of ME&amp;amp;A ABC Market Size and Forecast, by FF (2024-2032)&lt;/em&gt;</v>
      </c>
    </row>
    <row r="745" spans="10:11" x14ac:dyDescent="0.25">
      <c r="J745" t="s">
        <v>1038</v>
      </c>
      <c r="K745" t="str">
        <f>REPLACE(J745,FIND("ABC",J745,1),3,$I$2)</f>
        <v>&lt;strong&gt;9. South America ABC Market Size and Forecast by Segmentation (by Value in USD Million) 2024-2032&lt;/strong&gt;</v>
      </c>
    </row>
    <row r="746" spans="10:11" x14ac:dyDescent="0.25">
      <c r="J746" t="s">
        <v>1039</v>
      </c>
      <c r="K746" t="str">
        <f>REPLACE(IF(A2&gt;0,REPLACE(J746,53,8,A2),""),FIND("ABC",J746,1),3,$I$2)</f>
        <v>9.1. South America ABC Market Size and Forecast, by AA (2024-2032)</v>
      </c>
    </row>
    <row r="747" spans="10:11" x14ac:dyDescent="0.25">
      <c r="J747" t="s">
        <v>1040</v>
      </c>
      <c r="K747" t="str">
        <f>REPLACE(IF(B2&gt;0,REPLACE(J747,53,8,B2),""),FIND("ABC",J747,1),3,$I$2)</f>
        <v>9.2. South America ABC Market Size and Forecast, by BB (2024-2032)</v>
      </c>
    </row>
    <row r="748" spans="10:11" x14ac:dyDescent="0.25">
      <c r="J748" t="s">
        <v>1041</v>
      </c>
      <c r="K748" t="str">
        <f>REPLACE(IF(C2&gt;0,REPLACE(J748,53,8,C2),""),FIND("ABC",J748,1),3,$I$2)</f>
        <v>9.3. South America ABC Market Size and Forecast, by CC(2024-2032)</v>
      </c>
    </row>
    <row r="749" spans="10:11" x14ac:dyDescent="0.25">
      <c r="J749" t="s">
        <v>1042</v>
      </c>
      <c r="K749" t="str">
        <f>REPLACE(IF(D2&gt;0,REPLACE(J749,53,8,D2),""),FIND("ABC",J749,1),3,$I$2)</f>
        <v>9.4. South America ABC Market Size and Forecast, by DD (2024-2032)</v>
      </c>
    </row>
    <row r="750" spans="10:11" x14ac:dyDescent="0.25">
      <c r="J750" t="s">
        <v>1043</v>
      </c>
      <c r="K750" t="str">
        <f>REPLACE(IF(E2&gt;0,REPLACE(J750,53,8,E2),""),FIND("ABC",J750,1),3,$I$2)</f>
        <v>9.5. South America ABC Market Size and Forecast, by EE (2024-2032)</v>
      </c>
    </row>
    <row r="751" spans="10:11" x14ac:dyDescent="0.25">
      <c r="J751" t="s">
        <v>1044</v>
      </c>
      <c r="K751" t="str">
        <f>REPLACE(IF(F2&gt;0,REPLACE(J751,53,8,F2),""),FIND("ABC",J751,1),3,$I$2)</f>
        <v>9.6. South America ABC Market Size and Forecast, by FF (2024-2032)</v>
      </c>
    </row>
    <row r="752" spans="10:11" x14ac:dyDescent="0.25">
      <c r="J752" t="s">
        <v>1523</v>
      </c>
      <c r="K752" t="str">
        <f>REPLACE(J752,FIND("ABC",J752,1),3,$I$2)</f>
        <v>9.7. South America ABC Market Size and Forecast, by Country (2024-2032)</v>
      </c>
    </row>
    <row r="753" spans="10:11" x14ac:dyDescent="0.25">
      <c r="J753" t="s">
        <v>1524</v>
      </c>
      <c r="K753" t="str">
        <f>J753</f>
        <v>&lt;strong&gt;&lt;em&gt;9.7.1. Brazil&lt;/em&gt;&lt;/strong&gt;</v>
      </c>
    </row>
    <row r="754" spans="10:11" x14ac:dyDescent="0.25">
      <c r="J754" t="s">
        <v>1525</v>
      </c>
      <c r="K754" t="str">
        <f>REPLACE(IF(A2&gt;0,REPLACE(J754,54,8,A2),""),FIND("ABC",J754,1),3,$I$2)</f>
        <v>&lt;em&gt;9.7.1.1. Brazil ABC Market Size and Forecast, by AA (2024-2032)&lt;/em&gt;</v>
      </c>
    </row>
    <row r="755" spans="10:11" x14ac:dyDescent="0.25">
      <c r="J755" t="s">
        <v>1526</v>
      </c>
      <c r="K755" t="str">
        <f>REPLACE(IF(B2&gt;0,REPLACE(J755,54,8,B2),""),FIND("ABC",J755,1),3,$I$2)</f>
        <v>&lt;em&gt;9.7.1.2. Brazil ABC Market Size and Forecast, by BB (2024-2032)&lt;/em&gt;</v>
      </c>
    </row>
    <row r="756" spans="10:11" x14ac:dyDescent="0.25">
      <c r="J756" t="s">
        <v>1527</v>
      </c>
      <c r="K756" t="str">
        <f>REPLACE(IF(C2&gt;0,REPLACE(J756,54,8,C2),""),FIND("ABC",J756,1),3,$I$2)</f>
        <v>&lt;em&gt;9.7.1.3. Brazil ABC Market Size and Forecast, by CC (2024-2032)&lt;/em&gt;</v>
      </c>
    </row>
    <row r="757" spans="10:11" x14ac:dyDescent="0.25">
      <c r="J757" t="s">
        <v>1528</v>
      </c>
      <c r="K757" t="str">
        <f>REPLACE(IF(D2&gt;0,REPLACE(J757,54,8,D2),""),FIND("ABC",J757,1),3,$I$2)</f>
        <v>&lt;em&gt;9.7.1.4. Brazil ABC Market Size and Forecast, by DD (2024-2032)&lt;/em&gt;</v>
      </c>
    </row>
    <row r="758" spans="10:11" x14ac:dyDescent="0.25">
      <c r="J758" t="s">
        <v>1529</v>
      </c>
      <c r="K758" t="str">
        <f>REPLACE(IF(E2&gt;0,REPLACE(J758,54,8,E2),""),FIND("ABC",J758,1),3,$I$2)</f>
        <v>&lt;em&gt;9.7.1.5. Brazil ABC Market Size and Forecast, by EE (2024-2032)&lt;/em&gt;</v>
      </c>
    </row>
    <row r="759" spans="10:11" x14ac:dyDescent="0.25">
      <c r="J759" t="s">
        <v>1530</v>
      </c>
      <c r="K759" t="str">
        <f>REPLACE(IF(F2&gt;0,REPLACE(J759,54,8,F2),""),FIND("ABC",J759,1),3,$I$2)</f>
        <v>&lt;em&gt;9.7.1.6. Brazil ABC Market Size and Forecast, by FF (2024-2032)&lt;/em&gt;</v>
      </c>
    </row>
    <row r="760" spans="10:11" x14ac:dyDescent="0.25">
      <c r="J760" t="s">
        <v>1531</v>
      </c>
      <c r="K760" t="str">
        <f>J760</f>
        <v>&lt;strong&gt;&lt;em&gt;9.7.2. Argentina&lt;/em&gt;&lt;/strong&gt;</v>
      </c>
    </row>
    <row r="761" spans="10:11" x14ac:dyDescent="0.25">
      <c r="J761" t="s">
        <v>1532</v>
      </c>
      <c r="K761" t="str">
        <f>REPLACE(IF(A2&gt;0,REPLACE(J761,57,8,A2),""),FIND("ABC",J761,1),3,$I$2)</f>
        <v>&lt;em&gt;9.7.2.1. Argentina ABC Market Size and Forecast, by AA (2024-2032)&lt;/em&gt;</v>
      </c>
    </row>
    <row r="762" spans="10:11" x14ac:dyDescent="0.25">
      <c r="J762" t="s">
        <v>1533</v>
      </c>
      <c r="K762" t="str">
        <f>REPLACE(IF(B2&gt;0,REPLACE(J762,57,8,B2),""),FIND("ABC",J762,1),3,$I$2)</f>
        <v>&lt;em&gt;9.7.2.2. Argentina ABC Market Size and Forecast, by BB (2024-2032)&lt;/em&gt;</v>
      </c>
    </row>
    <row r="763" spans="10:11" x14ac:dyDescent="0.25">
      <c r="J763" t="s">
        <v>1534</v>
      </c>
      <c r="K763" t="str">
        <f>REPLACE(IF(C2&gt;0,REPLACE(J763,57,8,C2),""),FIND("ABC",J763,1),3,$I$2)</f>
        <v>&lt;em&gt;9.7.2.3. Argentina ABC Market Size and Forecast, by CC (2024-2032)&lt;/em&gt;</v>
      </c>
    </row>
    <row r="764" spans="10:11" x14ac:dyDescent="0.25">
      <c r="J764" t="s">
        <v>1535</v>
      </c>
      <c r="K764" t="str">
        <f>REPLACE(IF(D2&gt;0,REPLACE(J764,57,8,D2),""),FIND("ABC",J764,1),3,$I$2)</f>
        <v>&lt;em&gt;9.7.2.4. Argentina ABC Market Size and Forecast, by DD (2024-2032)&lt;/em&gt;</v>
      </c>
    </row>
    <row r="765" spans="10:11" x14ac:dyDescent="0.25">
      <c r="J765" t="s">
        <v>1536</v>
      </c>
      <c r="K765" t="str">
        <f>REPLACE(IF(E2&gt;0,REPLACE(J765,57,8,E2),""),FIND("ABC",J765,1),3,$I$2)</f>
        <v>&lt;em&gt;9.7.2.5. Argentina ABC Market Size and Forecast, by EE (2024-2032)&lt;/em&gt;</v>
      </c>
    </row>
    <row r="766" spans="10:11" x14ac:dyDescent="0.25">
      <c r="J766" t="s">
        <v>1537</v>
      </c>
      <c r="K766" t="str">
        <f>REPLACE(IF(F2&gt;0,REPLACE(J766,57,8,F2),""),FIND("ABC",J766,1),3,$I$2)</f>
        <v>&lt;em&gt;9.7.2.6. Argentina ABC Market Size and Forecast, by FF (2024-2032)&lt;/em&gt;</v>
      </c>
    </row>
    <row r="767" spans="10:11" x14ac:dyDescent="0.25">
      <c r="J767" t="s">
        <v>1538</v>
      </c>
      <c r="K767" t="str">
        <f>J767</f>
        <v>&lt;strong&gt;&lt;em&gt;9.7.3. Rest Of South America&lt;/em&gt;&lt;/strong&gt;</v>
      </c>
    </row>
    <row r="768" spans="10:11" x14ac:dyDescent="0.25">
      <c r="J768" t="s">
        <v>1539</v>
      </c>
      <c r="K768" t="str">
        <f>REPLACE(IF(A2&gt;0,REPLACE(J768,69,8,A2),""),FIND("ABC",J768,1),3,$I$2)</f>
        <v>&lt;em&gt;9.7.3.1. Rest Of South America ABC Market Size and Forecast, by AA (2024-2032)&lt;/em&gt;</v>
      </c>
    </row>
    <row r="769" spans="10:11" x14ac:dyDescent="0.25">
      <c r="J769" t="s">
        <v>1540</v>
      </c>
      <c r="K769" t="str">
        <f>REPLACE(IF(B2&gt;0,REPLACE(J769,69,8,B2),""),FIND("ABC",J769,1),3,$I$2)</f>
        <v>&lt;em&gt;9.7.3.2. Rest Of South America ABC Market Size and Forecast, by BB (2024-2032)&lt;/em&gt;</v>
      </c>
    </row>
    <row r="770" spans="10:11" x14ac:dyDescent="0.25">
      <c r="J770" t="s">
        <v>1541</v>
      </c>
      <c r="K770" t="str">
        <f>REPLACE(IF(C2&gt;0,REPLACE(J770,69,8,C2),""),FIND("ABC",J770,1),3,$I$2)</f>
        <v>&lt;em&gt;9.7.3.3. Rest Of South America ABC Market Size and Forecast, by CC (2024-2032)&lt;/em&gt;</v>
      </c>
    </row>
    <row r="771" spans="10:11" x14ac:dyDescent="0.25">
      <c r="J771" t="s">
        <v>1542</v>
      </c>
      <c r="K771" t="str">
        <f>REPLACE(IF(D2&gt;0,REPLACE(J771,69,8,D2),""),FIND("ABC",J771,1),3,$I$2)</f>
        <v>&lt;em&gt;9.7.3.4. Rest Of South America ABC Market Size and Forecast, by DD (2024-2032)&lt;/em&gt;</v>
      </c>
    </row>
    <row r="772" spans="10:11" x14ac:dyDescent="0.25">
      <c r="J772" t="s">
        <v>1543</v>
      </c>
      <c r="K772" t="str">
        <f>REPLACE(IF(E2&gt;0,REPLACE(J772,69,8,E2),""),FIND("ABC",J772,1),3,$I$2)</f>
        <v>&lt;em&gt;9.7.3.5. Rest Of South America ABC Market Size and Forecast, by EE (2024-2032)&lt;/em&gt;</v>
      </c>
    </row>
    <row r="773" spans="10:11" x14ac:dyDescent="0.25">
      <c r="J773" t="s">
        <v>1544</v>
      </c>
      <c r="K773" t="str">
        <f>REPLACE(IF(F2&gt;0,REPLACE(J773,69,8,F2),""),FIND("ABC",J773,1),3,$I$2)</f>
        <v>&lt;em&gt;9.7.3.6. Rest Of South America ABC Market Size and Forecast, by FF (2024-2032)&lt;/em&gt;</v>
      </c>
    </row>
    <row r="775" spans="10:11" x14ac:dyDescent="0.25">
      <c r="J775" t="s">
        <v>58</v>
      </c>
      <c r="K775" t="s">
        <v>58</v>
      </c>
    </row>
    <row r="776" spans="10:11" x14ac:dyDescent="0.25">
      <c r="J776" t="s">
        <v>87</v>
      </c>
      <c r="K776" t="str">
        <f>IF(H4&gt;0,REPLACE(J776,7,8,H4),"")</f>
        <v>10.1. Company1</v>
      </c>
    </row>
    <row r="777" spans="10:11" x14ac:dyDescent="0.25">
      <c r="J777" t="s">
        <v>59</v>
      </c>
      <c r="K777" t="s">
        <v>59</v>
      </c>
    </row>
    <row r="778" spans="10:11" x14ac:dyDescent="0.25">
      <c r="J778" t="s">
        <v>60</v>
      </c>
      <c r="K778" t="s">
        <v>60</v>
      </c>
    </row>
    <row r="779" spans="10:11" x14ac:dyDescent="0.25">
      <c r="J779" t="s">
        <v>61</v>
      </c>
      <c r="K779" t="s">
        <v>61</v>
      </c>
    </row>
    <row r="780" spans="10:11" x14ac:dyDescent="0.25">
      <c r="J780" t="s">
        <v>62</v>
      </c>
      <c r="K780" t="s">
        <v>62</v>
      </c>
    </row>
    <row r="781" spans="10:11" x14ac:dyDescent="0.25">
      <c r="J781" t="s">
        <v>63</v>
      </c>
      <c r="K781" t="s">
        <v>63</v>
      </c>
    </row>
    <row r="782" spans="10:11" x14ac:dyDescent="0.25">
      <c r="J782" t="s">
        <v>64</v>
      </c>
      <c r="K782" t="s">
        <v>64</v>
      </c>
    </row>
    <row r="783" spans="10:11" x14ac:dyDescent="0.25">
      <c r="J783" t="s">
        <v>65</v>
      </c>
      <c r="K783" t="s">
        <v>65</v>
      </c>
    </row>
    <row r="784" spans="10:11" x14ac:dyDescent="0.25">
      <c r="J784" t="s">
        <v>66</v>
      </c>
      <c r="K784" t="s">
        <v>66</v>
      </c>
    </row>
    <row r="785" spans="10:11" x14ac:dyDescent="0.25">
      <c r="J785" t="s">
        <v>67</v>
      </c>
      <c r="K785" t="s">
        <v>67</v>
      </c>
    </row>
    <row r="786" spans="10:11" x14ac:dyDescent="0.25">
      <c r="J786" t="s">
        <v>68</v>
      </c>
      <c r="K786" t="s">
        <v>68</v>
      </c>
    </row>
    <row r="787" spans="10:11" x14ac:dyDescent="0.25">
      <c r="J787" t="s">
        <v>88</v>
      </c>
      <c r="K787" t="str">
        <f>IF(H5&gt;0,REPLACE(J787,7,8,H5),"")</f>
        <v/>
      </c>
    </row>
    <row r="788" spans="10:11" x14ac:dyDescent="0.25">
      <c r="J788" t="s">
        <v>89</v>
      </c>
      <c r="K788" t="str">
        <f>IF(H6&gt;0,REPLACE(J788,7,8,H6),"")</f>
        <v/>
      </c>
    </row>
    <row r="789" spans="10:11" x14ac:dyDescent="0.25">
      <c r="J789" t="s">
        <v>90</v>
      </c>
      <c r="K789" t="str">
        <f>IF(H7&gt;0,REPLACE(J789,7,8,H7),"")</f>
        <v/>
      </c>
    </row>
    <row r="790" spans="10:11" x14ac:dyDescent="0.25">
      <c r="J790" t="s">
        <v>91</v>
      </c>
      <c r="K790" t="str">
        <f>IF(H8&gt;0,REPLACE(J790,7,8,H8),"")</f>
        <v/>
      </c>
    </row>
    <row r="791" spans="10:11" x14ac:dyDescent="0.25">
      <c r="J791" t="s">
        <v>92</v>
      </c>
      <c r="K791" t="str">
        <f>IF(H9&gt;0,REPLACE(J791,7,8,H9),"")</f>
        <v/>
      </c>
    </row>
    <row r="792" spans="10:11" x14ac:dyDescent="0.25">
      <c r="J792" t="s">
        <v>93</v>
      </c>
      <c r="K792" t="str">
        <f>IF(H10&gt;0,REPLACE(J792,7,8,H10),"")</f>
        <v/>
      </c>
    </row>
    <row r="793" spans="10:11" x14ac:dyDescent="0.25">
      <c r="J793" t="s">
        <v>94</v>
      </c>
      <c r="K793" t="str">
        <f>IF(H11&gt;0,REPLACE(J793,7,8,H11),"")</f>
        <v/>
      </c>
    </row>
    <row r="794" spans="10:11" x14ac:dyDescent="0.25">
      <c r="J794" t="s">
        <v>95</v>
      </c>
      <c r="K794" t="str">
        <f>IF(H12&gt;0,REPLACE(J794,7,8,H12),"")</f>
        <v/>
      </c>
    </row>
    <row r="795" spans="10:11" x14ac:dyDescent="0.25">
      <c r="J795" t="s">
        <v>96</v>
      </c>
      <c r="K795" t="str">
        <f>IF(H13&gt;0,REPLACE(J795,8,9,H13),"")</f>
        <v/>
      </c>
    </row>
    <row r="796" spans="10:11" x14ac:dyDescent="0.25">
      <c r="J796" t="s">
        <v>97</v>
      </c>
      <c r="K796" t="str">
        <f>IF(H14&gt;0,REPLACE(J796,8,9,H14),"")</f>
        <v/>
      </c>
    </row>
    <row r="797" spans="10:11" x14ac:dyDescent="0.25">
      <c r="J797" t="s">
        <v>98</v>
      </c>
      <c r="K797" t="str">
        <f>IF(H15&gt;0,REPLACE(J797,8,9,H15),"")</f>
        <v/>
      </c>
    </row>
    <row r="798" spans="10:11" x14ac:dyDescent="0.25">
      <c r="J798" t="s">
        <v>99</v>
      </c>
      <c r="K798" t="str">
        <f>IF(H16&gt;0,REPLACE(J798,8,9,H16),"")</f>
        <v/>
      </c>
    </row>
    <row r="799" spans="10:11" x14ac:dyDescent="0.25">
      <c r="J799" t="s">
        <v>100</v>
      </c>
      <c r="K799" t="str">
        <f>IF(H17&gt;0,REPLACE(J799,8,9,H17),"")</f>
        <v/>
      </c>
    </row>
    <row r="800" spans="10:11" x14ac:dyDescent="0.25">
      <c r="J800" t="s">
        <v>101</v>
      </c>
      <c r="K800" t="str">
        <f>IF(H18&gt;0,REPLACE(J800,8,9,H18),"")</f>
        <v/>
      </c>
    </row>
    <row r="801" spans="10:11" x14ac:dyDescent="0.25">
      <c r="J801" t="s">
        <v>102</v>
      </c>
      <c r="K801" t="str">
        <f>IF(H19&gt;0,REPLACE(J801,8,9,H19),"")</f>
        <v/>
      </c>
    </row>
    <row r="802" spans="10:11" x14ac:dyDescent="0.25">
      <c r="J802" t="s">
        <v>103</v>
      </c>
      <c r="K802" t="str">
        <f>IF(H20&gt;0,REPLACE(J802,8,9,H20),"")</f>
        <v/>
      </c>
    </row>
    <row r="803" spans="10:11" x14ac:dyDescent="0.25">
      <c r="J803" t="s">
        <v>104</v>
      </c>
      <c r="K803" t="str">
        <f>IF(H21&gt;0,REPLACE(J803,8,9,H21),"")</f>
        <v/>
      </c>
    </row>
    <row r="804" spans="10:11" x14ac:dyDescent="0.25">
      <c r="J804" t="s">
        <v>105</v>
      </c>
      <c r="K804" t="str">
        <f>IF(H22&gt;0,REPLACE(J804,8,9,H22),"")</f>
        <v/>
      </c>
    </row>
    <row r="805" spans="10:11" x14ac:dyDescent="0.25">
      <c r="J805" t="s">
        <v>106</v>
      </c>
      <c r="K805" t="str">
        <f>IF(H23&gt;0,REPLACE(J805,8,9,H23),"")</f>
        <v/>
      </c>
    </row>
    <row r="806" spans="10:11" x14ac:dyDescent="0.25">
      <c r="J806" t="s">
        <v>107</v>
      </c>
      <c r="K806" t="str">
        <f>IF(H24&gt;0,REPLACE(J806,8,9,H24),"")</f>
        <v/>
      </c>
    </row>
    <row r="807" spans="10:11" x14ac:dyDescent="0.25">
      <c r="J807" t="s">
        <v>108</v>
      </c>
      <c r="K807" t="str">
        <f>IF(H25&gt;0,REPLACE(J807,8,9,H25),"")</f>
        <v/>
      </c>
    </row>
    <row r="808" spans="10:11" x14ac:dyDescent="0.25">
      <c r="J808" t="s">
        <v>109</v>
      </c>
      <c r="K808" t="str">
        <f>IF(H26&gt;0,REPLACE(J808,8,9,H26),"")</f>
        <v/>
      </c>
    </row>
    <row r="809" spans="10:11" x14ac:dyDescent="0.25">
      <c r="J809" t="s">
        <v>110</v>
      </c>
      <c r="K809" t="str">
        <f>IF(H27&gt;0,REPLACE(J809,8,9,H27),"")</f>
        <v/>
      </c>
    </row>
    <row r="810" spans="10:11" x14ac:dyDescent="0.25">
      <c r="J810" t="s">
        <v>111</v>
      </c>
      <c r="K810" t="str">
        <f>IF(H28&gt;0,REPLACE(J810,8,9,H28),"")</f>
        <v/>
      </c>
    </row>
    <row r="811" spans="10:11" x14ac:dyDescent="0.25">
      <c r="J811" t="s">
        <v>112</v>
      </c>
      <c r="K811" t="str">
        <f>IF(H29&gt;0,REPLACE(J811,8,9,H29),"")</f>
        <v/>
      </c>
    </row>
    <row r="812" spans="10:11" x14ac:dyDescent="0.25">
      <c r="J812" t="s">
        <v>113</v>
      </c>
      <c r="K812" t="str">
        <f>IF(H30&gt;0,REPLACE(J812,8,9,H30),"")</f>
        <v/>
      </c>
    </row>
    <row r="813" spans="10:11" x14ac:dyDescent="0.25">
      <c r="J813" t="s">
        <v>114</v>
      </c>
      <c r="K813" t="str">
        <f>IF(H31&gt;0,REPLACE(J813,8,9,H31),"")</f>
        <v/>
      </c>
    </row>
    <row r="814" spans="10:11" x14ac:dyDescent="0.25">
      <c r="J814" t="s">
        <v>115</v>
      </c>
      <c r="K814" t="str">
        <f>IF(H32&gt;0,REPLACE(J814,8,9,H32),"")</f>
        <v/>
      </c>
    </row>
    <row r="815" spans="10:11" x14ac:dyDescent="0.25">
      <c r="J815" t="s">
        <v>116</v>
      </c>
      <c r="K815" t="str">
        <f>IF(H33&gt;0,REPLACE(J815,8,9,H33),"")</f>
        <v/>
      </c>
    </row>
    <row r="816" spans="10:11" x14ac:dyDescent="0.25">
      <c r="J816" t="s">
        <v>160</v>
      </c>
      <c r="K816" t="str">
        <f>IF(H34&gt;0,REPLACE(J816,8,9,H34),"")</f>
        <v/>
      </c>
    </row>
    <row r="817" spans="10:11" x14ac:dyDescent="0.25">
      <c r="J817" t="s">
        <v>161</v>
      </c>
      <c r="K817" t="str">
        <f>IF(H35&gt;0,REPLACE(J817,8,9,H35),"")</f>
        <v/>
      </c>
    </row>
    <row r="818" spans="10:11" x14ac:dyDescent="0.25">
      <c r="J818" t="s">
        <v>162</v>
      </c>
      <c r="K818" t="str">
        <f>IF(H36&gt;0,REPLACE(J818,8,9,H36),"")</f>
        <v/>
      </c>
    </row>
    <row r="819" spans="10:11" x14ac:dyDescent="0.25">
      <c r="J819" t="s">
        <v>163</v>
      </c>
      <c r="K819" t="str">
        <f>IF(H37&gt;0,REPLACE(J819,8,9,H37),"")</f>
        <v/>
      </c>
    </row>
    <row r="820" spans="10:11" x14ac:dyDescent="0.25">
      <c r="J820" t="s">
        <v>164</v>
      </c>
      <c r="K820" t="str">
        <f>IF(H38&gt;0,REPLACE(J820,8,9,H38),"")</f>
        <v/>
      </c>
    </row>
    <row r="821" spans="10:11" x14ac:dyDescent="0.25">
      <c r="J821" t="s">
        <v>165</v>
      </c>
      <c r="K821" t="str">
        <f>IF(H39&gt;0,REPLACE(J821,8,9,H39),"")</f>
        <v/>
      </c>
    </row>
    <row r="822" spans="10:11" x14ac:dyDescent="0.25">
      <c r="J822" t="s">
        <v>166</v>
      </c>
      <c r="K822" t="str">
        <f>IF(H40&gt;0,REPLACE(J822,8,9,H40),"")</f>
        <v/>
      </c>
    </row>
    <row r="823" spans="10:11" x14ac:dyDescent="0.25">
      <c r="J823" t="s">
        <v>167</v>
      </c>
      <c r="K823" t="str">
        <f>IF(H41&gt;0,REPLACE(J823,8,9,H41),"")</f>
        <v/>
      </c>
    </row>
    <row r="824" spans="10:11" x14ac:dyDescent="0.25">
      <c r="J824" t="s">
        <v>168</v>
      </c>
      <c r="K824" t="str">
        <f>IF(H42&gt;0,REPLACE(J824,8,9,H42),"")</f>
        <v/>
      </c>
    </row>
    <row r="825" spans="10:11" x14ac:dyDescent="0.25">
      <c r="J825" t="s">
        <v>169</v>
      </c>
      <c r="K825" t="str">
        <f>IF(H43&gt;0,REPLACE(J825,8,9,H43),"")</f>
        <v/>
      </c>
    </row>
    <row r="827" spans="10:11" x14ac:dyDescent="0.25">
      <c r="J827" t="s">
        <v>69</v>
      </c>
      <c r="K827" t="s">
        <v>69</v>
      </c>
    </row>
    <row r="829" spans="10:11" x14ac:dyDescent="0.25">
      <c r="J829" t="s">
        <v>70</v>
      </c>
      <c r="K829" t="s">
        <v>70</v>
      </c>
    </row>
    <row r="831" spans="10:11" x14ac:dyDescent="0.25">
      <c r="J831" t="s">
        <v>71</v>
      </c>
      <c r="K831" t="str">
        <f>REPLACE(J831,FIND("ABC",J831,1),3,I2)</f>
        <v>&lt;strong&gt;13. ABC Market: Research Methodology&lt;/strong&gt;</v>
      </c>
    </row>
    <row r="833" spans="10:11" x14ac:dyDescent="0.25">
      <c r="J833" t="s">
        <v>72</v>
      </c>
      <c r="K833" t="s">
        <v>72</v>
      </c>
    </row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6" customFormat="1" x14ac:dyDescent="0.25"/>
    <row r="938" customFormat="1" x14ac:dyDescent="0.25"/>
    <row r="940" customFormat="1" x14ac:dyDescent="0.25"/>
    <row r="942" customFormat="1" x14ac:dyDescent="0.25"/>
  </sheetData>
  <conditionalFormatting sqref="J113:J118">
    <cfRule type="uniqueValues" dxfId="1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42"/>
  <sheetViews>
    <sheetView workbookViewId="0">
      <selection activeCell="I4" sqref="I4"/>
    </sheetView>
  </sheetViews>
  <sheetFormatPr defaultRowHeight="15" x14ac:dyDescent="0.25"/>
  <cols>
    <col min="1" max="1" width="11.140625" customWidth="1"/>
    <col min="2" max="2" width="17.7109375" customWidth="1"/>
    <col min="3" max="3" width="15.140625" customWidth="1"/>
    <col min="4" max="4" width="16.7109375" customWidth="1"/>
    <col min="5" max="5" width="12.85546875" customWidth="1"/>
    <col min="6" max="7" width="17.28515625" customWidth="1"/>
    <col min="8" max="8" width="14.140625" customWidth="1"/>
    <col min="9" max="9" width="15.5703125" customWidth="1"/>
  </cols>
  <sheetData>
    <row r="1" spans="1:11" x14ac:dyDescent="0.2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171</v>
      </c>
      <c r="H1" s="1" t="s">
        <v>79</v>
      </c>
      <c r="I1" s="1" t="s">
        <v>122</v>
      </c>
    </row>
    <row r="2" spans="1:11" x14ac:dyDescent="0.25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85</v>
      </c>
      <c r="G2" s="2" t="s">
        <v>170</v>
      </c>
      <c r="I2" s="2" t="s">
        <v>159</v>
      </c>
      <c r="J2" t="s">
        <v>0</v>
      </c>
      <c r="K2" t="str">
        <f>REPLACE(J2,FIND("ABC",J2,1),3,I2)</f>
        <v>&lt;strong&gt;1. ABC Market Introduction&lt;/strong&gt;</v>
      </c>
    </row>
    <row r="3" spans="1:11" x14ac:dyDescent="0.25">
      <c r="A3" s="3"/>
      <c r="B3" s="3"/>
      <c r="C3" s="3"/>
      <c r="D3" s="3"/>
      <c r="E3" s="3"/>
      <c r="F3" s="3"/>
      <c r="G3" s="3"/>
      <c r="J3" t="s">
        <v>1</v>
      </c>
      <c r="K3" t="s">
        <v>1</v>
      </c>
    </row>
    <row r="4" spans="1:11" x14ac:dyDescent="0.25">
      <c r="A4" s="2"/>
      <c r="B4" s="2"/>
      <c r="C4" s="2"/>
      <c r="D4" s="2"/>
      <c r="E4" s="2"/>
      <c r="F4" s="2"/>
      <c r="G4" s="2"/>
      <c r="H4" s="2" t="s">
        <v>86</v>
      </c>
      <c r="J4" t="s">
        <v>2</v>
      </c>
      <c r="K4" t="s">
        <v>2</v>
      </c>
    </row>
    <row r="5" spans="1:11" x14ac:dyDescent="0.25">
      <c r="A5" s="2"/>
      <c r="B5" s="2"/>
      <c r="C5" s="2"/>
      <c r="D5" s="2"/>
      <c r="E5" s="2"/>
      <c r="F5" s="2"/>
      <c r="G5" s="2"/>
      <c r="H5" s="2"/>
      <c r="J5" t="s">
        <v>3</v>
      </c>
      <c r="K5" t="s">
        <v>3</v>
      </c>
    </row>
    <row r="6" spans="1:11" x14ac:dyDescent="0.25">
      <c r="A6" s="2"/>
      <c r="B6" s="2"/>
      <c r="C6" s="2"/>
      <c r="D6" s="2"/>
      <c r="E6" s="2"/>
      <c r="F6" s="2"/>
      <c r="G6" s="2"/>
      <c r="H6" s="2"/>
    </row>
    <row r="7" spans="1:11" x14ac:dyDescent="0.25">
      <c r="A7" s="2"/>
      <c r="B7" s="2"/>
      <c r="C7" s="2"/>
      <c r="D7" s="2"/>
      <c r="E7" s="2"/>
      <c r="F7" s="2"/>
      <c r="G7" s="2"/>
      <c r="H7" s="2"/>
      <c r="J7" t="s">
        <v>189</v>
      </c>
      <c r="K7" t="str">
        <f>REPLACE(J7,FIND("ABC",J7,1),3,$I$2)</f>
        <v>&lt;strong&gt;2. Global ABC Market: Competitive Landscape&lt;/strong&gt;</v>
      </c>
    </row>
    <row r="8" spans="1:11" x14ac:dyDescent="0.25">
      <c r="A8" s="2"/>
      <c r="B8" s="2"/>
      <c r="C8" s="2"/>
      <c r="D8" s="2"/>
      <c r="E8" s="2"/>
      <c r="F8" s="2"/>
      <c r="G8" s="2"/>
      <c r="H8" s="2"/>
      <c r="J8" t="s">
        <v>187</v>
      </c>
      <c r="K8" t="str">
        <f t="shared" ref="K8:K15" si="0">J8</f>
        <v>2.1. MMR Competition Matrix</v>
      </c>
    </row>
    <row r="9" spans="1:11" x14ac:dyDescent="0.25">
      <c r="A9" s="2"/>
      <c r="B9" s="2"/>
      <c r="C9" s="2"/>
      <c r="D9" s="2"/>
      <c r="E9" s="2"/>
      <c r="F9" s="2"/>
      <c r="G9" s="2"/>
      <c r="H9" s="2"/>
      <c r="J9" t="s">
        <v>188</v>
      </c>
      <c r="K9" t="str">
        <f t="shared" si="0"/>
        <v>2.2. Competitive Landscape</v>
      </c>
    </row>
    <row r="10" spans="1:11" x14ac:dyDescent="0.25">
      <c r="A10" s="2"/>
      <c r="B10" s="2"/>
      <c r="C10" s="2"/>
      <c r="D10" s="2"/>
      <c r="E10" s="2"/>
      <c r="F10" s="2"/>
      <c r="G10" s="2"/>
      <c r="H10" s="2"/>
      <c r="J10" t="s">
        <v>383</v>
      </c>
      <c r="K10" t="str">
        <f t="shared" si="0"/>
        <v>2.3. Key Players Benchmarking</v>
      </c>
    </row>
    <row r="11" spans="1:11" x14ac:dyDescent="0.25">
      <c r="A11" s="2"/>
      <c r="B11" s="2"/>
      <c r="C11" s="2"/>
      <c r="D11" s="2"/>
      <c r="E11" s="2"/>
      <c r="F11" s="2"/>
      <c r="G11" s="2"/>
      <c r="H11" s="2"/>
      <c r="J11" t="s">
        <v>384</v>
      </c>
      <c r="K11" t="str">
        <f t="shared" si="0"/>
        <v>&lt;em&gt;2.3.1. Company Name&lt;/em&gt;</v>
      </c>
    </row>
    <row r="12" spans="1:11" x14ac:dyDescent="0.25">
      <c r="A12" s="2"/>
      <c r="B12" s="2"/>
      <c r="C12" s="2"/>
      <c r="D12" s="2"/>
      <c r="E12" s="2"/>
      <c r="F12" s="2"/>
      <c r="G12" s="2"/>
      <c r="H12" s="2"/>
      <c r="J12" t="s">
        <v>385</v>
      </c>
      <c r="K12" t="str">
        <f t="shared" si="0"/>
        <v>&lt;em&gt;2.3.2. Business Segment&lt;/em&gt;</v>
      </c>
    </row>
    <row r="13" spans="1:11" x14ac:dyDescent="0.25">
      <c r="A13" s="2"/>
      <c r="B13" s="2"/>
      <c r="C13" s="2"/>
      <c r="D13" s="2"/>
      <c r="E13" s="2"/>
      <c r="F13" s="2"/>
      <c r="G13" s="2"/>
      <c r="H13" s="2"/>
      <c r="J13" t="s">
        <v>386</v>
      </c>
      <c r="K13" t="str">
        <f t="shared" si="0"/>
        <v>&lt;em&gt;2.3.3. End-user Segment&lt;/em&gt;</v>
      </c>
    </row>
    <row r="14" spans="1:11" x14ac:dyDescent="0.25">
      <c r="A14" s="2"/>
      <c r="B14" s="2"/>
      <c r="C14" s="2"/>
      <c r="D14" s="2"/>
      <c r="E14" s="2"/>
      <c r="F14" s="2"/>
      <c r="G14" s="2"/>
      <c r="H14" s="2"/>
      <c r="J14" t="s">
        <v>817</v>
      </c>
      <c r="K14" t="str">
        <f t="shared" si="0"/>
        <v>&lt;em&gt;2.3.4. Revenue (2024)&lt;/em&gt;</v>
      </c>
    </row>
    <row r="15" spans="1:11" x14ac:dyDescent="0.25">
      <c r="A15" s="2"/>
      <c r="B15" s="2"/>
      <c r="C15" s="2"/>
      <c r="D15" s="2"/>
      <c r="E15" s="2"/>
      <c r="F15" s="2"/>
      <c r="G15" s="2"/>
      <c r="H15" s="2"/>
      <c r="J15" t="s">
        <v>387</v>
      </c>
      <c r="K15" t="str">
        <f t="shared" si="0"/>
        <v>&lt;em&gt;2.3.5. Company Locations&lt;/em&gt;</v>
      </c>
    </row>
    <row r="16" spans="1:11" x14ac:dyDescent="0.25">
      <c r="A16" s="2"/>
      <c r="B16" s="2"/>
      <c r="C16" s="2"/>
      <c r="D16" s="2"/>
      <c r="E16" s="2"/>
      <c r="F16" s="2"/>
      <c r="G16" s="2"/>
      <c r="H16" s="2"/>
      <c r="J16" t="s">
        <v>388</v>
      </c>
      <c r="K16" t="str">
        <f>REPLACE(J16,FIND("ABC",J16,1),3,$I$2)</f>
        <v>2.4. Leading ABC Market Companies, by market capitalization</v>
      </c>
    </row>
    <row r="17" spans="1:11" x14ac:dyDescent="0.25">
      <c r="A17" s="2"/>
      <c r="B17" s="2"/>
      <c r="C17" s="2"/>
      <c r="D17" s="2"/>
      <c r="E17" s="2"/>
      <c r="F17" s="2"/>
      <c r="G17" s="2"/>
      <c r="H17" s="2"/>
      <c r="J17" t="s">
        <v>389</v>
      </c>
      <c r="K17" t="str">
        <f>J17</f>
        <v>2.5. Market Structure</v>
      </c>
    </row>
    <row r="18" spans="1:11" x14ac:dyDescent="0.25">
      <c r="A18" s="2"/>
      <c r="B18" s="2"/>
      <c r="C18" s="2"/>
      <c r="D18" s="2"/>
      <c r="E18" s="2"/>
      <c r="F18" s="2"/>
      <c r="G18" s="2"/>
      <c r="H18" s="2"/>
      <c r="J18" t="s">
        <v>390</v>
      </c>
      <c r="K18" t="str">
        <f>J18</f>
        <v>&lt;em&gt;2.5.1. Market Leaders&lt;/em&gt;</v>
      </c>
    </row>
    <row r="19" spans="1:11" x14ac:dyDescent="0.25">
      <c r="H19" s="2"/>
      <c r="J19" t="s">
        <v>391</v>
      </c>
      <c r="K19" t="str">
        <f>J19</f>
        <v>&lt;em&gt;2.5.2. Market Followers&lt;/em&gt;</v>
      </c>
    </row>
    <row r="20" spans="1:11" x14ac:dyDescent="0.25">
      <c r="H20" s="2"/>
      <c r="J20" t="s">
        <v>392</v>
      </c>
      <c r="K20" t="str">
        <f>J20</f>
        <v>&lt;em&gt;2.5.3. Emerging Players&lt;/em&gt;</v>
      </c>
    </row>
    <row r="21" spans="1:11" x14ac:dyDescent="0.25">
      <c r="H21" s="2"/>
      <c r="J21" t="s">
        <v>393</v>
      </c>
      <c r="K21" t="str">
        <f>J21</f>
        <v>2.6. Mergers and Acquisitions Details</v>
      </c>
    </row>
    <row r="22" spans="1:11" x14ac:dyDescent="0.25">
      <c r="H22" s="2"/>
    </row>
    <row r="23" spans="1:11" x14ac:dyDescent="0.25">
      <c r="H23" s="2"/>
      <c r="J23" t="s">
        <v>190</v>
      </c>
      <c r="K23" t="str">
        <f>REPLACE(J23,FIND("ABC",J23,1),3,$I$2)</f>
        <v>&lt;strong&gt;3. ABC Market: Dynamics&lt;/strong&gt;</v>
      </c>
    </row>
    <row r="24" spans="1:11" x14ac:dyDescent="0.25">
      <c r="H24" s="2"/>
      <c r="J24" t="s">
        <v>191</v>
      </c>
      <c r="K24" t="str">
        <f>REPLACE(J24,FIND("ABC",J24,1),3,$I$2)</f>
        <v>3.1. ABC Market Trends by Region</v>
      </c>
    </row>
    <row r="25" spans="1:11" x14ac:dyDescent="0.25">
      <c r="H25" s="2"/>
      <c r="J25" t="s">
        <v>192</v>
      </c>
      <c r="K25" t="str">
        <f>REPLACE(J25,FIND("ABC",J25,1),3,$I$2)</f>
        <v>&lt;em&gt;3.1.1. North America ABC Market Trends&lt;/em&gt;</v>
      </c>
    </row>
    <row r="26" spans="1:11" x14ac:dyDescent="0.25">
      <c r="H26" s="2"/>
      <c r="J26" t="s">
        <v>193</v>
      </c>
      <c r="K26" t="str">
        <f t="shared" ref="K26:K30" si="1">REPLACE(J26,FIND("ABC",J26,1),3,$I$2)</f>
        <v>&lt;em&gt;3.1.2. Europe ABC Market Trends&lt;/em&gt;</v>
      </c>
    </row>
    <row r="27" spans="1:11" x14ac:dyDescent="0.25">
      <c r="H27" s="2"/>
      <c r="J27" t="s">
        <v>194</v>
      </c>
      <c r="K27" t="str">
        <f t="shared" si="1"/>
        <v>&lt;em&gt;3.1.3. Asia Pacific ABC Market Trends&lt;/em&gt;</v>
      </c>
    </row>
    <row r="28" spans="1:11" x14ac:dyDescent="0.25">
      <c r="H28" s="2"/>
      <c r="J28" t="s">
        <v>195</v>
      </c>
      <c r="K28" t="str">
        <f t="shared" si="1"/>
        <v>&lt;em&gt;3.1.4. Middle East and Africa ABC Market Trends&lt;/em&gt;</v>
      </c>
    </row>
    <row r="29" spans="1:11" x14ac:dyDescent="0.25">
      <c r="H29" s="2"/>
      <c r="J29" t="s">
        <v>196</v>
      </c>
      <c r="K29" t="str">
        <f t="shared" si="1"/>
        <v>&lt;em&gt;3.1.5. South America ABC Market Trends&lt;/em&gt;</v>
      </c>
    </row>
    <row r="30" spans="1:11" x14ac:dyDescent="0.25">
      <c r="H30" s="2"/>
      <c r="J30" t="s">
        <v>197</v>
      </c>
      <c r="K30" t="str">
        <f t="shared" si="1"/>
        <v>3.2. ABC Market Dynamics by Region</v>
      </c>
    </row>
    <row r="31" spans="1:11" x14ac:dyDescent="0.25">
      <c r="H31" s="2"/>
      <c r="J31" t="s">
        <v>198</v>
      </c>
      <c r="K31" t="str">
        <f>J31</f>
        <v>&lt;em&gt;3.2.1. North America&lt;/em&gt;</v>
      </c>
    </row>
    <row r="32" spans="1:11" x14ac:dyDescent="0.25">
      <c r="H32" s="2"/>
      <c r="J32" t="s">
        <v>199</v>
      </c>
      <c r="K32" t="str">
        <f>REPLACE(J32,FIND("ABC",J32,1),3,$I$2)</f>
        <v>&lt;em&gt;3.2.1.1. North America ABC Market Drivers&lt;/em&gt;</v>
      </c>
    </row>
    <row r="33" spans="8:11" x14ac:dyDescent="0.25">
      <c r="H33" s="2"/>
      <c r="J33" t="s">
        <v>200</v>
      </c>
      <c r="K33" t="str">
        <f t="shared" ref="K33:K35" si="2">REPLACE(J33,FIND("ABC",J33,1),3,$I$2)</f>
        <v>&lt;em&gt;3.2.1.2. North America ABC Market Restraints&lt;/em&gt;</v>
      </c>
    </row>
    <row r="34" spans="8:11" x14ac:dyDescent="0.25">
      <c r="H34" s="2"/>
      <c r="J34" t="s">
        <v>201</v>
      </c>
      <c r="K34" t="str">
        <f t="shared" si="2"/>
        <v>&lt;em&gt;3.2.1.3. North America ABC Market Opportunities&lt;/em&gt;</v>
      </c>
    </row>
    <row r="35" spans="8:11" x14ac:dyDescent="0.25">
      <c r="H35" s="2"/>
      <c r="J35" t="s">
        <v>202</v>
      </c>
      <c r="K35" t="str">
        <f t="shared" si="2"/>
        <v>&lt;em&gt;3.2.1.4. North America ABC Market Challenges&lt;/em&gt;</v>
      </c>
    </row>
    <row r="36" spans="8:11" x14ac:dyDescent="0.25">
      <c r="H36" s="2"/>
      <c r="J36" t="s">
        <v>203</v>
      </c>
      <c r="K36" t="str">
        <f>J36</f>
        <v>&lt;em&gt;3.2.2. Europe&lt;/em&gt;</v>
      </c>
    </row>
    <row r="37" spans="8:11" x14ac:dyDescent="0.25">
      <c r="H37" s="2"/>
      <c r="J37" t="s">
        <v>204</v>
      </c>
      <c r="K37" t="str">
        <f>REPLACE(J37,FIND("ABC",J37,1),3,$I$2)</f>
        <v>&lt;em&gt;3.2.2.1. Europe ABC Market Drivers&lt;/em&gt;</v>
      </c>
    </row>
    <row r="38" spans="8:11" x14ac:dyDescent="0.25">
      <c r="H38" s="2"/>
      <c r="J38" t="s">
        <v>205</v>
      </c>
      <c r="K38" t="str">
        <f t="shared" ref="K38:K55" si="3">REPLACE(J38,FIND("ABC",J38,1),3,$I$2)</f>
        <v>&lt;em&gt;3.2.2.2. Europe ABC Market Restraints&lt;/em&gt;</v>
      </c>
    </row>
    <row r="39" spans="8:11" x14ac:dyDescent="0.25">
      <c r="H39" s="2"/>
      <c r="J39" t="s">
        <v>206</v>
      </c>
      <c r="K39" t="str">
        <f t="shared" si="3"/>
        <v>&lt;em&gt;3.2.2.3. Europe ABC Market Opportunities&lt;/em&gt;</v>
      </c>
    </row>
    <row r="40" spans="8:11" x14ac:dyDescent="0.25">
      <c r="H40" s="2"/>
      <c r="J40" t="s">
        <v>207</v>
      </c>
      <c r="K40" t="str">
        <f t="shared" si="3"/>
        <v>&lt;em&gt;3.2.2.4. Europe ABC Market Challenges&lt;/em&gt;</v>
      </c>
    </row>
    <row r="41" spans="8:11" x14ac:dyDescent="0.25">
      <c r="H41" s="2"/>
      <c r="J41" t="s">
        <v>208</v>
      </c>
      <c r="K41" t="str">
        <f>J41</f>
        <v>&lt;em&gt;3.2.3. Asia Pacific&lt;/em&gt;</v>
      </c>
    </row>
    <row r="42" spans="8:11" x14ac:dyDescent="0.25">
      <c r="H42" s="2"/>
      <c r="J42" t="s">
        <v>209</v>
      </c>
      <c r="K42" t="str">
        <f t="shared" si="3"/>
        <v>&lt;em&gt;3.2.3.1. Asia Pacific ABC Market Drivers&lt;/em&gt;</v>
      </c>
    </row>
    <row r="43" spans="8:11" x14ac:dyDescent="0.25">
      <c r="H43" s="2"/>
      <c r="J43" t="s">
        <v>210</v>
      </c>
      <c r="K43" t="str">
        <f t="shared" si="3"/>
        <v>&lt;em&gt;3.2.3.2. Asia Pacific ABC Market Restraints&lt;/em&gt;</v>
      </c>
    </row>
    <row r="44" spans="8:11" x14ac:dyDescent="0.25">
      <c r="J44" t="s">
        <v>211</v>
      </c>
      <c r="K44" t="str">
        <f t="shared" si="3"/>
        <v>&lt;em&gt;3.2.3.3. Asia Pacific ABC Market Opportunities&lt;/em&gt;</v>
      </c>
    </row>
    <row r="45" spans="8:11" x14ac:dyDescent="0.25">
      <c r="J45" t="s">
        <v>212</v>
      </c>
      <c r="K45" t="str">
        <f t="shared" si="3"/>
        <v>&lt;em&gt;3.2.3.4. Asia Pacific ABC Market Challenges&lt;/em&gt;</v>
      </c>
    </row>
    <row r="46" spans="8:11" x14ac:dyDescent="0.25">
      <c r="J46" t="s">
        <v>213</v>
      </c>
      <c r="K46" t="str">
        <f>J46</f>
        <v>&lt;em&gt;3.2.4. Middle East and Africa&lt;/em&gt;</v>
      </c>
    </row>
    <row r="47" spans="8:11" x14ac:dyDescent="0.25">
      <c r="J47" t="s">
        <v>214</v>
      </c>
      <c r="K47" t="str">
        <f t="shared" si="3"/>
        <v>&lt;em&gt;3.2.4.1. Middle East and Africa ABC Market Drivers&lt;/em&gt;</v>
      </c>
    </row>
    <row r="48" spans="8:11" x14ac:dyDescent="0.25">
      <c r="J48" t="s">
        <v>215</v>
      </c>
      <c r="K48" t="str">
        <f t="shared" si="3"/>
        <v>&lt;em&gt;3.2.4.2. Middle East and Africa ABC Market Restraints&lt;/em&gt;</v>
      </c>
    </row>
    <row r="49" spans="10:11" x14ac:dyDescent="0.25">
      <c r="J49" t="s">
        <v>216</v>
      </c>
      <c r="K49" t="str">
        <f t="shared" si="3"/>
        <v>&lt;em&gt;3.2.4.3. Middle East and Africa ABC Market Opportunities&lt;/em&gt;</v>
      </c>
    </row>
    <row r="50" spans="10:11" x14ac:dyDescent="0.25">
      <c r="J50" t="s">
        <v>217</v>
      </c>
      <c r="K50" t="str">
        <f t="shared" si="3"/>
        <v>&lt;em&gt;3.2.4.4. Middle East and Africa ABC Market Challenges&lt;/em&gt;</v>
      </c>
    </row>
    <row r="51" spans="10:11" x14ac:dyDescent="0.25">
      <c r="J51" t="s">
        <v>218</v>
      </c>
      <c r="K51" t="str">
        <f>J51</f>
        <v>&lt;em&gt;3.2.5. South America&lt;/em&gt;</v>
      </c>
    </row>
    <row r="52" spans="10:11" x14ac:dyDescent="0.25">
      <c r="J52" t="s">
        <v>219</v>
      </c>
      <c r="K52" t="str">
        <f t="shared" si="3"/>
        <v>&lt;em&gt;3.2.5.1. South America ABC Market Drivers&lt;/em&gt;</v>
      </c>
    </row>
    <row r="53" spans="10:11" x14ac:dyDescent="0.25">
      <c r="J53" t="s">
        <v>220</v>
      </c>
      <c r="K53" t="str">
        <f t="shared" si="3"/>
        <v>&lt;em&gt;3.2.5.2. South America ABC Market Restraints&lt;/em&gt;</v>
      </c>
    </row>
    <row r="54" spans="10:11" x14ac:dyDescent="0.25">
      <c r="J54" t="s">
        <v>221</v>
      </c>
      <c r="K54" t="str">
        <f t="shared" si="3"/>
        <v>&lt;em&gt;3.2.5.3. South America ABC Market Opportunities&lt;/em&gt;</v>
      </c>
    </row>
    <row r="55" spans="10:11" x14ac:dyDescent="0.25">
      <c r="J55" t="s">
        <v>222</v>
      </c>
      <c r="K55" t="str">
        <f t="shared" si="3"/>
        <v>&lt;em&gt;3.2.5.4. South America ABC Market Challenges&lt;/em&gt;</v>
      </c>
    </row>
    <row r="56" spans="10:11" x14ac:dyDescent="0.25">
      <c r="J56" t="s">
        <v>223</v>
      </c>
      <c r="K56" t="str">
        <f t="shared" ref="K56:K64" si="4">J56</f>
        <v>3.3. PORTER’s Five Forces Analysis</v>
      </c>
    </row>
    <row r="57" spans="10:11" x14ac:dyDescent="0.25">
      <c r="J57" t="s">
        <v>224</v>
      </c>
      <c r="K57" t="str">
        <f t="shared" si="4"/>
        <v>3.4. PESTLE Analysis</v>
      </c>
    </row>
    <row r="58" spans="10:11" x14ac:dyDescent="0.25">
      <c r="J58" t="s">
        <v>225</v>
      </c>
      <c r="K58" t="str">
        <f t="shared" si="4"/>
        <v>3.5. Technology Roadmap</v>
      </c>
    </row>
    <row r="59" spans="10:11" x14ac:dyDescent="0.25">
      <c r="J59" t="s">
        <v>226</v>
      </c>
      <c r="K59" t="str">
        <f t="shared" si="4"/>
        <v>3.6. Regulatory Landscape by Region</v>
      </c>
    </row>
    <row r="60" spans="10:11" x14ac:dyDescent="0.25">
      <c r="J60" t="s">
        <v>117</v>
      </c>
      <c r="K60" t="str">
        <f t="shared" si="4"/>
        <v>&lt;em&gt;3.6.1. North America&lt;/em&gt;</v>
      </c>
    </row>
    <row r="61" spans="10:11" x14ac:dyDescent="0.25">
      <c r="J61" t="s">
        <v>118</v>
      </c>
      <c r="K61" t="str">
        <f t="shared" si="4"/>
        <v>&lt;em&gt;3.6.2. Europe&lt;/em&gt;</v>
      </c>
    </row>
    <row r="62" spans="10:11" x14ac:dyDescent="0.25">
      <c r="J62" t="s">
        <v>119</v>
      </c>
      <c r="K62" t="str">
        <f t="shared" si="4"/>
        <v>&lt;em&gt;3.6.3. Asia Pacific&lt;/em&gt;</v>
      </c>
    </row>
    <row r="63" spans="10:11" x14ac:dyDescent="0.25">
      <c r="J63" t="s">
        <v>120</v>
      </c>
      <c r="K63" t="str">
        <f t="shared" si="4"/>
        <v>&lt;em&gt;3.6.4. Middle East and Africa&lt;/em&gt;</v>
      </c>
    </row>
    <row r="64" spans="10:11" x14ac:dyDescent="0.25">
      <c r="J64" t="s">
        <v>121</v>
      </c>
      <c r="K64" t="str">
        <f t="shared" si="4"/>
        <v>&lt;em&gt;3.6.5. South America&lt;/em&gt;</v>
      </c>
    </row>
    <row r="65" spans="10:11" x14ac:dyDescent="0.25">
      <c r="J65" t="s">
        <v>227</v>
      </c>
      <c r="K65" t="str">
        <f>REPLACE(J65,FIND("ABC",J65,1),3,$I$2)</f>
        <v>3.7. Key Opinion Leader Analysis For ABC Industry</v>
      </c>
    </row>
    <row r="66" spans="10:11" x14ac:dyDescent="0.25">
      <c r="J66" t="s">
        <v>228</v>
      </c>
      <c r="K66" t="str">
        <f>REPLACE(J66,FIND("ABC",J66,1),3,$I$2)</f>
        <v>3.8. Analysis of Government Schemes and Initiatives For ABC Industry</v>
      </c>
    </row>
    <row r="67" spans="10:11" x14ac:dyDescent="0.25">
      <c r="J67" t="s">
        <v>229</v>
      </c>
      <c r="K67" t="str">
        <f>REPLACE(J67,FIND("ABC",J67,1),3,$I$2)</f>
        <v>3.9. ABC Market Trade Analysis</v>
      </c>
    </row>
    <row r="68" spans="10:11" x14ac:dyDescent="0.25">
      <c r="J68" t="s">
        <v>230</v>
      </c>
      <c r="K68" t="str">
        <f>REPLACE(J68,FIND("ABC",J68,1),3,$I$2)</f>
        <v>3.10. The Global Pandemic Impact on ABC Market</v>
      </c>
    </row>
    <row r="70" spans="10:11" x14ac:dyDescent="0.25">
      <c r="J70" t="s">
        <v>818</v>
      </c>
      <c r="K70" t="str">
        <f>REPLACE(J70,FIND("ABC",J70,1),3,$I$2)</f>
        <v>&lt;strong&gt;4. ABC Market: Global Market Size and Forecast by Segmentation by Demand and Supply Side (by Value in USD Million) 2024-2032&lt;/strong&gt;</v>
      </c>
    </row>
    <row r="71" spans="10:11" x14ac:dyDescent="0.25">
      <c r="J71" t="s">
        <v>819</v>
      </c>
      <c r="K71" t="str">
        <f>REPLACE(IF(A2&gt;0,REPLACE(J71,39,8,A2),""),6,3,I2)</f>
        <v>4.1. ABC Market Size and Forecast, by AA (2024-2032)</v>
      </c>
    </row>
    <row r="72" spans="10:11" x14ac:dyDescent="0.25">
      <c r="J72" t="s">
        <v>4</v>
      </c>
      <c r="K72" t="str">
        <f t="shared" ref="K72:K80" si="5">IF(A4&gt;0,REPLACE(J72,12,3,A4),"")</f>
        <v/>
      </c>
    </row>
    <row r="73" spans="10:11" x14ac:dyDescent="0.25">
      <c r="J73" t="s">
        <v>5</v>
      </c>
      <c r="K73" t="str">
        <f t="shared" si="5"/>
        <v/>
      </c>
    </row>
    <row r="74" spans="10:11" x14ac:dyDescent="0.25">
      <c r="J74" t="s">
        <v>6</v>
      </c>
      <c r="K74" t="str">
        <f t="shared" si="5"/>
        <v/>
      </c>
    </row>
    <row r="75" spans="10:11" x14ac:dyDescent="0.25">
      <c r="J75" t="s">
        <v>7</v>
      </c>
      <c r="K75" t="str">
        <f t="shared" si="5"/>
        <v/>
      </c>
    </row>
    <row r="76" spans="10:11" x14ac:dyDescent="0.25">
      <c r="J76" t="s">
        <v>8</v>
      </c>
      <c r="K76" t="str">
        <f t="shared" si="5"/>
        <v/>
      </c>
    </row>
    <row r="77" spans="10:11" x14ac:dyDescent="0.25">
      <c r="J77" t="s">
        <v>9</v>
      </c>
      <c r="K77" t="str">
        <f t="shared" si="5"/>
        <v/>
      </c>
    </row>
    <row r="78" spans="10:11" x14ac:dyDescent="0.25">
      <c r="J78" t="s">
        <v>10</v>
      </c>
      <c r="K78" t="str">
        <f t="shared" si="5"/>
        <v/>
      </c>
    </row>
    <row r="79" spans="10:11" x14ac:dyDescent="0.25">
      <c r="J79" t="s">
        <v>11</v>
      </c>
      <c r="K79" t="str">
        <f t="shared" si="5"/>
        <v/>
      </c>
    </row>
    <row r="80" spans="10:11" x14ac:dyDescent="0.25">
      <c r="J80" t="s">
        <v>12</v>
      </c>
      <c r="K80" t="str">
        <f t="shared" si="5"/>
        <v/>
      </c>
    </row>
    <row r="81" spans="10:11" x14ac:dyDescent="0.25">
      <c r="J81" t="s">
        <v>123</v>
      </c>
      <c r="K81" t="str">
        <f t="shared" ref="K81:K86" si="6">IF(A13&gt;0,REPLACE(J81,13,4,A13),"")</f>
        <v/>
      </c>
    </row>
    <row r="82" spans="10:11" x14ac:dyDescent="0.25">
      <c r="J82" t="s">
        <v>124</v>
      </c>
      <c r="K82" t="str">
        <f t="shared" si="6"/>
        <v/>
      </c>
    </row>
    <row r="83" spans="10:11" x14ac:dyDescent="0.25">
      <c r="J83" t="s">
        <v>125</v>
      </c>
      <c r="K83" t="str">
        <f t="shared" si="6"/>
        <v/>
      </c>
    </row>
    <row r="84" spans="10:11" x14ac:dyDescent="0.25">
      <c r="J84" t="s">
        <v>126</v>
      </c>
      <c r="K84" t="str">
        <f t="shared" si="6"/>
        <v/>
      </c>
    </row>
    <row r="85" spans="10:11" x14ac:dyDescent="0.25">
      <c r="J85" t="s">
        <v>127</v>
      </c>
      <c r="K85" t="str">
        <f t="shared" si="6"/>
        <v/>
      </c>
    </row>
    <row r="86" spans="10:11" x14ac:dyDescent="0.25">
      <c r="J86" t="s">
        <v>128</v>
      </c>
      <c r="K86" t="str">
        <f t="shared" si="6"/>
        <v/>
      </c>
    </row>
    <row r="87" spans="10:11" x14ac:dyDescent="0.25">
      <c r="J87" t="s">
        <v>820</v>
      </c>
      <c r="K87" t="str">
        <f>REPLACE(IF(B2&gt;0,REPLACE(J87,39,8,B2),""),6,3,I2)</f>
        <v>4.2. ABC Market Size and Forecast, by BB (2024-2032)</v>
      </c>
    </row>
    <row r="88" spans="10:11" x14ac:dyDescent="0.25">
      <c r="J88" t="s">
        <v>13</v>
      </c>
      <c r="K88" t="str">
        <f t="shared" ref="K88:K96" si="7">IF(B4&gt;0,REPLACE(J88,12,3,B4),"")</f>
        <v/>
      </c>
    </row>
    <row r="89" spans="10:11" x14ac:dyDescent="0.25">
      <c r="J89" t="s">
        <v>14</v>
      </c>
      <c r="K89" t="str">
        <f t="shared" si="7"/>
        <v/>
      </c>
    </row>
    <row r="90" spans="10:11" x14ac:dyDescent="0.25">
      <c r="J90" t="s">
        <v>15</v>
      </c>
      <c r="K90" t="str">
        <f t="shared" si="7"/>
        <v/>
      </c>
    </row>
    <row r="91" spans="10:11" x14ac:dyDescent="0.25">
      <c r="J91" t="s">
        <v>16</v>
      </c>
      <c r="K91" t="str">
        <f t="shared" si="7"/>
        <v/>
      </c>
    </row>
    <row r="92" spans="10:11" x14ac:dyDescent="0.25">
      <c r="J92" t="s">
        <v>17</v>
      </c>
      <c r="K92" t="str">
        <f t="shared" si="7"/>
        <v/>
      </c>
    </row>
    <row r="93" spans="10:11" x14ac:dyDescent="0.25">
      <c r="J93" t="s">
        <v>18</v>
      </c>
      <c r="K93" t="str">
        <f t="shared" si="7"/>
        <v/>
      </c>
    </row>
    <row r="94" spans="10:11" x14ac:dyDescent="0.25">
      <c r="J94" t="s">
        <v>19</v>
      </c>
      <c r="K94" t="str">
        <f t="shared" si="7"/>
        <v/>
      </c>
    </row>
    <row r="95" spans="10:11" x14ac:dyDescent="0.25">
      <c r="J95" t="s">
        <v>20</v>
      </c>
      <c r="K95" t="str">
        <f t="shared" si="7"/>
        <v/>
      </c>
    </row>
    <row r="96" spans="10:11" x14ac:dyDescent="0.25">
      <c r="J96" t="s">
        <v>21</v>
      </c>
      <c r="K96" t="str">
        <f t="shared" si="7"/>
        <v/>
      </c>
    </row>
    <row r="97" spans="10:11" x14ac:dyDescent="0.25">
      <c r="J97" t="s">
        <v>129</v>
      </c>
      <c r="K97" t="str">
        <f t="shared" ref="K97:K102" si="8">IF(B13&gt;0,REPLACE(J97,13,4,B13),"")</f>
        <v/>
      </c>
    </row>
    <row r="98" spans="10:11" x14ac:dyDescent="0.25">
      <c r="J98" t="s">
        <v>130</v>
      </c>
      <c r="K98" t="str">
        <f t="shared" si="8"/>
        <v/>
      </c>
    </row>
    <row r="99" spans="10:11" x14ac:dyDescent="0.25">
      <c r="J99" t="s">
        <v>131</v>
      </c>
      <c r="K99" t="str">
        <f t="shared" si="8"/>
        <v/>
      </c>
    </row>
    <row r="100" spans="10:11" x14ac:dyDescent="0.25">
      <c r="J100" t="s">
        <v>132</v>
      </c>
      <c r="K100" t="str">
        <f t="shared" si="8"/>
        <v/>
      </c>
    </row>
    <row r="101" spans="10:11" x14ac:dyDescent="0.25">
      <c r="J101" t="s">
        <v>133</v>
      </c>
      <c r="K101" t="str">
        <f t="shared" si="8"/>
        <v/>
      </c>
    </row>
    <row r="102" spans="10:11" x14ac:dyDescent="0.25">
      <c r="J102" t="s">
        <v>134</v>
      </c>
      <c r="K102" t="str">
        <f t="shared" si="8"/>
        <v/>
      </c>
    </row>
    <row r="103" spans="10:11" x14ac:dyDescent="0.25">
      <c r="J103" t="s">
        <v>821</v>
      </c>
      <c r="K103" t="str">
        <f>REPLACE(IF(C2&gt;0,REPLACE(J103,39,8,C2),""),6,3,I2)</f>
        <v>4.3. ABC Market Size and Forecast, by CC (2024-2032)</v>
      </c>
    </row>
    <row r="104" spans="10:11" x14ac:dyDescent="0.25">
      <c r="J104" t="s">
        <v>22</v>
      </c>
      <c r="K104" t="str">
        <f t="shared" ref="K104:K112" si="9">IF(C4&gt;0,REPLACE(J104,12,3,C4),"")</f>
        <v/>
      </c>
    </row>
    <row r="105" spans="10:11" x14ac:dyDescent="0.25">
      <c r="J105" t="s">
        <v>23</v>
      </c>
      <c r="K105" t="str">
        <f t="shared" si="9"/>
        <v/>
      </c>
    </row>
    <row r="106" spans="10:11" x14ac:dyDescent="0.25">
      <c r="J106" t="s">
        <v>24</v>
      </c>
      <c r="K106" t="str">
        <f t="shared" si="9"/>
        <v/>
      </c>
    </row>
    <row r="107" spans="10:11" x14ac:dyDescent="0.25">
      <c r="J107" t="s">
        <v>25</v>
      </c>
      <c r="K107" t="str">
        <f t="shared" si="9"/>
        <v/>
      </c>
    </row>
    <row r="108" spans="10:11" x14ac:dyDescent="0.25">
      <c r="J108" t="s">
        <v>26</v>
      </c>
      <c r="K108" t="str">
        <f t="shared" si="9"/>
        <v/>
      </c>
    </row>
    <row r="109" spans="10:11" x14ac:dyDescent="0.25">
      <c r="J109" t="s">
        <v>27</v>
      </c>
      <c r="K109" t="str">
        <f t="shared" si="9"/>
        <v/>
      </c>
    </row>
    <row r="110" spans="10:11" x14ac:dyDescent="0.25">
      <c r="J110" t="s">
        <v>28</v>
      </c>
      <c r="K110" t="str">
        <f t="shared" si="9"/>
        <v/>
      </c>
    </row>
    <row r="111" spans="10:11" x14ac:dyDescent="0.25">
      <c r="J111" t="s">
        <v>29</v>
      </c>
      <c r="K111" t="str">
        <f t="shared" si="9"/>
        <v/>
      </c>
    </row>
    <row r="112" spans="10:11" x14ac:dyDescent="0.25">
      <c r="J112" t="s">
        <v>30</v>
      </c>
      <c r="K112" t="str">
        <f t="shared" si="9"/>
        <v/>
      </c>
    </row>
    <row r="113" spans="10:11" x14ac:dyDescent="0.25">
      <c r="J113" t="s">
        <v>135</v>
      </c>
      <c r="K113" t="str">
        <f t="shared" ref="K113:K118" si="10">IF(C13&gt;0,REPLACE(J113,13,4,C13),"")</f>
        <v/>
      </c>
    </row>
    <row r="114" spans="10:11" x14ac:dyDescent="0.25">
      <c r="J114" t="s">
        <v>136</v>
      </c>
      <c r="K114" t="str">
        <f t="shared" si="10"/>
        <v/>
      </c>
    </row>
    <row r="115" spans="10:11" x14ac:dyDescent="0.25">
      <c r="J115" t="s">
        <v>137</v>
      </c>
      <c r="K115" t="str">
        <f t="shared" si="10"/>
        <v/>
      </c>
    </row>
    <row r="116" spans="10:11" x14ac:dyDescent="0.25">
      <c r="J116" t="s">
        <v>138</v>
      </c>
      <c r="K116" t="str">
        <f t="shared" si="10"/>
        <v/>
      </c>
    </row>
    <row r="117" spans="10:11" x14ac:dyDescent="0.25">
      <c r="J117" t="s">
        <v>139</v>
      </c>
      <c r="K117" t="str">
        <f t="shared" si="10"/>
        <v/>
      </c>
    </row>
    <row r="118" spans="10:11" x14ac:dyDescent="0.25">
      <c r="J118" t="s">
        <v>140</v>
      </c>
      <c r="K118" t="str">
        <f t="shared" si="10"/>
        <v/>
      </c>
    </row>
    <row r="119" spans="10:11" ht="14.25" customHeight="1" x14ac:dyDescent="0.25">
      <c r="J119" t="s">
        <v>822</v>
      </c>
      <c r="K119" t="str">
        <f>REPLACE(IF(D2&gt;0,REPLACE(J119,39,8,D2),""),6,3,I2)</f>
        <v>4.4. ABC Market Size and Forecast, by DD (2024-2032)</v>
      </c>
    </row>
    <row r="120" spans="10:11" x14ac:dyDescent="0.25">
      <c r="J120" t="s">
        <v>31</v>
      </c>
      <c r="K120" t="str">
        <f t="shared" ref="K120:K128" si="11">IF(D4&gt;0,REPLACE(J120,12,3,D4),"")</f>
        <v/>
      </c>
    </row>
    <row r="121" spans="10:11" x14ac:dyDescent="0.25">
      <c r="J121" t="s">
        <v>32</v>
      </c>
      <c r="K121" t="str">
        <f t="shared" si="11"/>
        <v/>
      </c>
    </row>
    <row r="122" spans="10:11" x14ac:dyDescent="0.25">
      <c r="J122" t="s">
        <v>33</v>
      </c>
      <c r="K122" t="str">
        <f t="shared" si="11"/>
        <v/>
      </c>
    </row>
    <row r="123" spans="10:11" x14ac:dyDescent="0.25">
      <c r="J123" t="s">
        <v>34</v>
      </c>
      <c r="K123" t="str">
        <f t="shared" si="11"/>
        <v/>
      </c>
    </row>
    <row r="124" spans="10:11" x14ac:dyDescent="0.25">
      <c r="J124" t="s">
        <v>35</v>
      </c>
      <c r="K124" t="str">
        <f t="shared" si="11"/>
        <v/>
      </c>
    </row>
    <row r="125" spans="10:11" x14ac:dyDescent="0.25">
      <c r="J125" t="s">
        <v>36</v>
      </c>
      <c r="K125" t="str">
        <f t="shared" si="11"/>
        <v/>
      </c>
    </row>
    <row r="126" spans="10:11" x14ac:dyDescent="0.25">
      <c r="J126" t="s">
        <v>37</v>
      </c>
      <c r="K126" t="str">
        <f t="shared" si="11"/>
        <v/>
      </c>
    </row>
    <row r="127" spans="10:11" x14ac:dyDescent="0.25">
      <c r="J127" t="s">
        <v>38</v>
      </c>
      <c r="K127" t="str">
        <f t="shared" si="11"/>
        <v/>
      </c>
    </row>
    <row r="128" spans="10:11" x14ac:dyDescent="0.25">
      <c r="J128" t="s">
        <v>39</v>
      </c>
      <c r="K128" t="str">
        <f t="shared" si="11"/>
        <v/>
      </c>
    </row>
    <row r="129" spans="10:11" x14ac:dyDescent="0.25">
      <c r="J129" t="s">
        <v>141</v>
      </c>
      <c r="K129" t="str">
        <f t="shared" ref="K129:K134" si="12">IF(D13&gt;0,REPLACE(J129,13,4,D13),"")</f>
        <v/>
      </c>
    </row>
    <row r="130" spans="10:11" x14ac:dyDescent="0.25">
      <c r="J130" t="s">
        <v>142</v>
      </c>
      <c r="K130" t="str">
        <f t="shared" si="12"/>
        <v/>
      </c>
    </row>
    <row r="131" spans="10:11" x14ac:dyDescent="0.25">
      <c r="J131" t="s">
        <v>143</v>
      </c>
      <c r="K131" t="str">
        <f t="shared" si="12"/>
        <v/>
      </c>
    </row>
    <row r="132" spans="10:11" x14ac:dyDescent="0.25">
      <c r="J132" t="s">
        <v>144</v>
      </c>
      <c r="K132" t="str">
        <f t="shared" si="12"/>
        <v/>
      </c>
    </row>
    <row r="133" spans="10:11" x14ac:dyDescent="0.25">
      <c r="J133" t="s">
        <v>145</v>
      </c>
      <c r="K133" t="str">
        <f t="shared" si="12"/>
        <v/>
      </c>
    </row>
    <row r="134" spans="10:11" x14ac:dyDescent="0.25">
      <c r="J134" t="s">
        <v>146</v>
      </c>
      <c r="K134" t="str">
        <f t="shared" si="12"/>
        <v/>
      </c>
    </row>
    <row r="135" spans="10:11" x14ac:dyDescent="0.25">
      <c r="J135" t="s">
        <v>823</v>
      </c>
      <c r="K135" t="str">
        <f>REPLACE(IF(E2&gt;0,REPLACE(J135,39,8,E2),""),6,3,I2)</f>
        <v>4.5. ABC Market Size and Forecast, by EE (2024-2032)</v>
      </c>
    </row>
    <row r="136" spans="10:11" x14ac:dyDescent="0.25">
      <c r="J136" t="s">
        <v>40</v>
      </c>
      <c r="K136" t="str">
        <f t="shared" ref="K136:K144" si="13">IF(E4&gt;0,REPLACE(J136,12,3,E4),"")</f>
        <v/>
      </c>
    </row>
    <row r="137" spans="10:11" x14ac:dyDescent="0.25">
      <c r="J137" t="s">
        <v>41</v>
      </c>
      <c r="K137" t="str">
        <f t="shared" si="13"/>
        <v/>
      </c>
    </row>
    <row r="138" spans="10:11" x14ac:dyDescent="0.25">
      <c r="J138" t="s">
        <v>42</v>
      </c>
      <c r="K138" t="str">
        <f t="shared" si="13"/>
        <v/>
      </c>
    </row>
    <row r="139" spans="10:11" x14ac:dyDescent="0.25">
      <c r="J139" t="s">
        <v>43</v>
      </c>
      <c r="K139" t="str">
        <f t="shared" si="13"/>
        <v/>
      </c>
    </row>
    <row r="140" spans="10:11" x14ac:dyDescent="0.25">
      <c r="J140" t="s">
        <v>44</v>
      </c>
      <c r="K140" t="str">
        <f t="shared" si="13"/>
        <v/>
      </c>
    </row>
    <row r="141" spans="10:11" x14ac:dyDescent="0.25">
      <c r="J141" t="s">
        <v>45</v>
      </c>
      <c r="K141" t="str">
        <f t="shared" si="13"/>
        <v/>
      </c>
    </row>
    <row r="142" spans="10:11" x14ac:dyDescent="0.25">
      <c r="J142" t="s">
        <v>46</v>
      </c>
      <c r="K142" t="str">
        <f t="shared" si="13"/>
        <v/>
      </c>
    </row>
    <row r="143" spans="10:11" x14ac:dyDescent="0.25">
      <c r="J143" t="s">
        <v>47</v>
      </c>
      <c r="K143" t="str">
        <f t="shared" si="13"/>
        <v/>
      </c>
    </row>
    <row r="144" spans="10:11" x14ac:dyDescent="0.25">
      <c r="J144" t="s">
        <v>48</v>
      </c>
      <c r="K144" t="str">
        <f t="shared" si="13"/>
        <v/>
      </c>
    </row>
    <row r="145" spans="10:11" x14ac:dyDescent="0.25">
      <c r="J145" t="s">
        <v>147</v>
      </c>
      <c r="K145" t="str">
        <f t="shared" ref="K145:K150" si="14">IF(E13&gt;0,REPLACE(J145,13,4,E13),"")</f>
        <v/>
      </c>
    </row>
    <row r="146" spans="10:11" x14ac:dyDescent="0.25">
      <c r="J146" t="s">
        <v>148</v>
      </c>
      <c r="K146" t="str">
        <f t="shared" si="14"/>
        <v/>
      </c>
    </row>
    <row r="147" spans="10:11" x14ac:dyDescent="0.25">
      <c r="J147" t="s">
        <v>149</v>
      </c>
      <c r="K147" t="str">
        <f t="shared" si="14"/>
        <v/>
      </c>
    </row>
    <row r="148" spans="10:11" x14ac:dyDescent="0.25">
      <c r="J148" t="s">
        <v>150</v>
      </c>
      <c r="K148" t="str">
        <f t="shared" si="14"/>
        <v/>
      </c>
    </row>
    <row r="149" spans="10:11" x14ac:dyDescent="0.25">
      <c r="J149" t="s">
        <v>151</v>
      </c>
      <c r="K149" t="str">
        <f t="shared" si="14"/>
        <v/>
      </c>
    </row>
    <row r="150" spans="10:11" x14ac:dyDescent="0.25">
      <c r="J150" t="s">
        <v>152</v>
      </c>
      <c r="K150" t="str">
        <f t="shared" si="14"/>
        <v/>
      </c>
    </row>
    <row r="151" spans="10:11" x14ac:dyDescent="0.25">
      <c r="J151" t="s">
        <v>824</v>
      </c>
      <c r="K151" t="str">
        <f>REPLACE(IF(F2&gt;0,REPLACE(J151,39,8,F2),""),6,3,I2)</f>
        <v>4.6. ABC Market Size and Forecast, by FF (2024-2032)</v>
      </c>
    </row>
    <row r="152" spans="10:11" x14ac:dyDescent="0.25">
      <c r="J152" t="s">
        <v>49</v>
      </c>
      <c r="K152" t="str">
        <f t="shared" ref="K152:K160" si="15">IF(F4&gt;0,REPLACE(J152,12,3,F4),"")</f>
        <v/>
      </c>
    </row>
    <row r="153" spans="10:11" x14ac:dyDescent="0.25">
      <c r="J153" t="s">
        <v>50</v>
      </c>
      <c r="K153" t="str">
        <f t="shared" si="15"/>
        <v/>
      </c>
    </row>
    <row r="154" spans="10:11" x14ac:dyDescent="0.25">
      <c r="J154" t="s">
        <v>51</v>
      </c>
      <c r="K154" t="str">
        <f t="shared" si="15"/>
        <v/>
      </c>
    </row>
    <row r="155" spans="10:11" x14ac:dyDescent="0.25">
      <c r="J155" t="s">
        <v>52</v>
      </c>
      <c r="K155" t="str">
        <f t="shared" si="15"/>
        <v/>
      </c>
    </row>
    <row r="156" spans="10:11" x14ac:dyDescent="0.25">
      <c r="J156" t="s">
        <v>53</v>
      </c>
      <c r="K156" t="str">
        <f t="shared" si="15"/>
        <v/>
      </c>
    </row>
    <row r="157" spans="10:11" x14ac:dyDescent="0.25">
      <c r="J157" t="s">
        <v>54</v>
      </c>
      <c r="K157" t="str">
        <f t="shared" si="15"/>
        <v/>
      </c>
    </row>
    <row r="158" spans="10:11" x14ac:dyDescent="0.25">
      <c r="J158" t="s">
        <v>55</v>
      </c>
      <c r="K158" t="str">
        <f t="shared" si="15"/>
        <v/>
      </c>
    </row>
    <row r="159" spans="10:11" x14ac:dyDescent="0.25">
      <c r="J159" t="s">
        <v>56</v>
      </c>
      <c r="K159" t="str">
        <f t="shared" si="15"/>
        <v/>
      </c>
    </row>
    <row r="160" spans="10:11" x14ac:dyDescent="0.25">
      <c r="J160" t="s">
        <v>57</v>
      </c>
      <c r="K160" t="str">
        <f t="shared" si="15"/>
        <v/>
      </c>
    </row>
    <row r="161" spans="10:11" x14ac:dyDescent="0.25">
      <c r="J161" t="s">
        <v>153</v>
      </c>
      <c r="K161" t="str">
        <f t="shared" ref="K161:K166" si="16">IF(F13&gt;0,REPLACE(J161,13,4,F13),"")</f>
        <v/>
      </c>
    </row>
    <row r="162" spans="10:11" x14ac:dyDescent="0.25">
      <c r="J162" t="s">
        <v>154</v>
      </c>
      <c r="K162" t="str">
        <f t="shared" si="16"/>
        <v/>
      </c>
    </row>
    <row r="163" spans="10:11" x14ac:dyDescent="0.25">
      <c r="J163" t="s">
        <v>155</v>
      </c>
      <c r="K163" t="str">
        <f t="shared" si="16"/>
        <v/>
      </c>
    </row>
    <row r="164" spans="10:11" x14ac:dyDescent="0.25">
      <c r="J164" t="s">
        <v>156</v>
      </c>
      <c r="K164" t="str">
        <f t="shared" si="16"/>
        <v/>
      </c>
    </row>
    <row r="165" spans="10:11" x14ac:dyDescent="0.25">
      <c r="J165" t="s">
        <v>157</v>
      </c>
      <c r="K165" t="str">
        <f t="shared" si="16"/>
        <v/>
      </c>
    </row>
    <row r="166" spans="10:11" x14ac:dyDescent="0.25">
      <c r="J166" t="s">
        <v>158</v>
      </c>
      <c r="K166" t="str">
        <f t="shared" si="16"/>
        <v/>
      </c>
    </row>
    <row r="167" spans="10:11" x14ac:dyDescent="0.25">
      <c r="J167" t="s">
        <v>825</v>
      </c>
      <c r="K167" t="str">
        <f>REPLACE(IF(G2&gt;0,REPLACE(J167,39,8,G2),""),6,3,I2)</f>
        <v>4.7. ABC Market Size and Forecast, by GG (2024-2032)</v>
      </c>
    </row>
    <row r="168" spans="10:11" x14ac:dyDescent="0.25">
      <c r="J168" t="s">
        <v>172</v>
      </c>
      <c r="K168" t="str">
        <f t="shared" ref="K168:K176" si="17">IF(G4&gt;0,REPLACE(J168,12,3,G4),"")</f>
        <v/>
      </c>
    </row>
    <row r="169" spans="10:11" x14ac:dyDescent="0.25">
      <c r="J169" t="s">
        <v>173</v>
      </c>
      <c r="K169" t="str">
        <f t="shared" si="17"/>
        <v/>
      </c>
    </row>
    <row r="170" spans="10:11" x14ac:dyDescent="0.25">
      <c r="J170" t="s">
        <v>174</v>
      </c>
      <c r="K170" t="str">
        <f t="shared" si="17"/>
        <v/>
      </c>
    </row>
    <row r="171" spans="10:11" x14ac:dyDescent="0.25">
      <c r="J171" t="s">
        <v>175</v>
      </c>
      <c r="K171" t="str">
        <f t="shared" si="17"/>
        <v/>
      </c>
    </row>
    <row r="172" spans="10:11" x14ac:dyDescent="0.25">
      <c r="J172" t="s">
        <v>176</v>
      </c>
      <c r="K172" t="str">
        <f t="shared" si="17"/>
        <v/>
      </c>
    </row>
    <row r="173" spans="10:11" x14ac:dyDescent="0.25">
      <c r="J173" t="s">
        <v>177</v>
      </c>
      <c r="K173" t="str">
        <f t="shared" si="17"/>
        <v/>
      </c>
    </row>
    <row r="174" spans="10:11" x14ac:dyDescent="0.25">
      <c r="J174" t="s">
        <v>178</v>
      </c>
      <c r="K174" t="str">
        <f t="shared" si="17"/>
        <v/>
      </c>
    </row>
    <row r="175" spans="10:11" x14ac:dyDescent="0.25">
      <c r="J175" t="s">
        <v>179</v>
      </c>
      <c r="K175" t="str">
        <f t="shared" si="17"/>
        <v/>
      </c>
    </row>
    <row r="176" spans="10:11" x14ac:dyDescent="0.25">
      <c r="J176" t="s">
        <v>180</v>
      </c>
      <c r="K176" t="str">
        <f t="shared" si="17"/>
        <v/>
      </c>
    </row>
    <row r="177" spans="10:11" x14ac:dyDescent="0.25">
      <c r="J177" t="s">
        <v>181</v>
      </c>
      <c r="K177" t="str">
        <f t="shared" ref="K177:K182" si="18">IF(G13&gt;0,REPLACE(J177,13,4,G13),"")</f>
        <v/>
      </c>
    </row>
    <row r="178" spans="10:11" x14ac:dyDescent="0.25">
      <c r="J178" t="s">
        <v>182</v>
      </c>
      <c r="K178" t="str">
        <f t="shared" si="18"/>
        <v/>
      </c>
    </row>
    <row r="179" spans="10:11" x14ac:dyDescent="0.25">
      <c r="J179" t="s">
        <v>183</v>
      </c>
      <c r="K179" t="str">
        <f t="shared" si="18"/>
        <v/>
      </c>
    </row>
    <row r="180" spans="10:11" x14ac:dyDescent="0.25">
      <c r="J180" t="s">
        <v>184</v>
      </c>
      <c r="K180" t="str">
        <f t="shared" si="18"/>
        <v/>
      </c>
    </row>
    <row r="181" spans="10:11" x14ac:dyDescent="0.25">
      <c r="J181" t="s">
        <v>185</v>
      </c>
      <c r="K181" t="str">
        <f t="shared" si="18"/>
        <v/>
      </c>
    </row>
    <row r="182" spans="10:11" x14ac:dyDescent="0.25">
      <c r="J182" t="s">
        <v>186</v>
      </c>
      <c r="K182" t="str">
        <f t="shared" si="18"/>
        <v/>
      </c>
    </row>
    <row r="183" spans="10:11" x14ac:dyDescent="0.25">
      <c r="J183" t="s">
        <v>826</v>
      </c>
      <c r="K183" t="str">
        <f>REPLACE(J183,6,3,I2)</f>
        <v>4.8. ABC Market Size and Forecast, by Region (2024-2032)</v>
      </c>
    </row>
    <row r="184" spans="10:11" x14ac:dyDescent="0.25">
      <c r="J184" t="s">
        <v>394</v>
      </c>
      <c r="K184" t="str">
        <f>J184</f>
        <v>&lt;em&gt;4.8.1. North America&lt;/em&gt;</v>
      </c>
    </row>
    <row r="185" spans="10:11" x14ac:dyDescent="0.25">
      <c r="J185" t="s">
        <v>395</v>
      </c>
      <c r="K185" t="str">
        <f>J185</f>
        <v>&lt;em&gt;4.8.2. Europe&lt;/em&gt;</v>
      </c>
    </row>
    <row r="186" spans="10:11" x14ac:dyDescent="0.25">
      <c r="J186" t="s">
        <v>396</v>
      </c>
      <c r="K186" t="str">
        <f>J186</f>
        <v>&lt;em&gt;4.8.3. Asia Pacific&lt;/em&gt;</v>
      </c>
    </row>
    <row r="187" spans="10:11" x14ac:dyDescent="0.25">
      <c r="J187" t="s">
        <v>397</v>
      </c>
      <c r="K187" t="str">
        <f>J187</f>
        <v>&lt;em&gt;4.8.4. Middle East and Africa&lt;/em&gt;</v>
      </c>
    </row>
    <row r="188" spans="10:11" x14ac:dyDescent="0.25">
      <c r="J188" t="s">
        <v>398</v>
      </c>
      <c r="K188" t="str">
        <f>J188</f>
        <v>&lt;em&gt;4.8.5. South America&lt;/em&gt;</v>
      </c>
    </row>
    <row r="190" spans="10:11" x14ac:dyDescent="0.25">
      <c r="J190" t="s">
        <v>827</v>
      </c>
      <c r="K190" t="str">
        <f>REPLACE(J190,FIND("ABC",J190,1),3,I2)</f>
        <v>&lt;strong&gt;5. North America ABC Market Size and Forecast by Segmentation (by Value in USD Million) 2024-2032&lt;/strong&gt;</v>
      </c>
    </row>
    <row r="191" spans="10:11" x14ac:dyDescent="0.25">
      <c r="J191" t="s">
        <v>828</v>
      </c>
      <c r="K191" t="str">
        <f>REPLACE(IF(A2&gt;0,REPLACE(J191,53,8,A2),""),20,3,I2)</f>
        <v>5.1. North America ABC Market Size and Forecast, by AA (2024-2032)</v>
      </c>
    </row>
    <row r="192" spans="10:11" x14ac:dyDescent="0.25">
      <c r="J192" t="s">
        <v>236</v>
      </c>
      <c r="K192" t="str">
        <f t="shared" ref="K192:K200" si="19">IF(A4&gt;0,REPLACE(J192,12,3,A4),"")</f>
        <v/>
      </c>
    </row>
    <row r="193" spans="10:11" x14ac:dyDescent="0.25">
      <c r="J193" t="s">
        <v>237</v>
      </c>
      <c r="K193" t="str">
        <f t="shared" si="19"/>
        <v/>
      </c>
    </row>
    <row r="194" spans="10:11" x14ac:dyDescent="0.25">
      <c r="J194" t="s">
        <v>238</v>
      </c>
      <c r="K194" t="str">
        <f t="shared" si="19"/>
        <v/>
      </c>
    </row>
    <row r="195" spans="10:11" x14ac:dyDescent="0.25">
      <c r="J195" t="s">
        <v>239</v>
      </c>
      <c r="K195" t="str">
        <f t="shared" si="19"/>
        <v/>
      </c>
    </row>
    <row r="196" spans="10:11" x14ac:dyDescent="0.25">
      <c r="J196" t="s">
        <v>240</v>
      </c>
      <c r="K196" t="str">
        <f t="shared" si="19"/>
        <v/>
      </c>
    </row>
    <row r="197" spans="10:11" x14ac:dyDescent="0.25">
      <c r="J197" t="s">
        <v>241</v>
      </c>
      <c r="K197" t="str">
        <f t="shared" si="19"/>
        <v/>
      </c>
    </row>
    <row r="198" spans="10:11" x14ac:dyDescent="0.25">
      <c r="J198" t="s">
        <v>242</v>
      </c>
      <c r="K198" t="str">
        <f t="shared" si="19"/>
        <v/>
      </c>
    </row>
    <row r="199" spans="10:11" x14ac:dyDescent="0.25">
      <c r="J199" t="s">
        <v>243</v>
      </c>
      <c r="K199" t="str">
        <f t="shared" si="19"/>
        <v/>
      </c>
    </row>
    <row r="200" spans="10:11" x14ac:dyDescent="0.25">
      <c r="J200" t="s">
        <v>244</v>
      </c>
      <c r="K200" t="str">
        <f t="shared" si="19"/>
        <v/>
      </c>
    </row>
    <row r="201" spans="10:11" x14ac:dyDescent="0.25">
      <c r="J201" t="s">
        <v>245</v>
      </c>
      <c r="K201" t="str">
        <f t="shared" ref="K201:K206" si="20">IF(A13&gt;0,REPLACE(J201,13,4,A13),"")</f>
        <v/>
      </c>
    </row>
    <row r="202" spans="10:11" x14ac:dyDescent="0.25">
      <c r="J202" t="s">
        <v>246</v>
      </c>
      <c r="K202" t="str">
        <f t="shared" si="20"/>
        <v/>
      </c>
    </row>
    <row r="203" spans="10:11" x14ac:dyDescent="0.25">
      <c r="J203" t="s">
        <v>247</v>
      </c>
      <c r="K203" t="str">
        <f t="shared" si="20"/>
        <v/>
      </c>
    </row>
    <row r="204" spans="10:11" x14ac:dyDescent="0.25">
      <c r="J204" t="s">
        <v>248</v>
      </c>
      <c r="K204" t="str">
        <f t="shared" si="20"/>
        <v/>
      </c>
    </row>
    <row r="205" spans="10:11" x14ac:dyDescent="0.25">
      <c r="J205" t="s">
        <v>249</v>
      </c>
      <c r="K205" t="str">
        <f t="shared" si="20"/>
        <v/>
      </c>
    </row>
    <row r="206" spans="10:11" x14ac:dyDescent="0.25">
      <c r="J206" t="s">
        <v>250</v>
      </c>
      <c r="K206" t="str">
        <f t="shared" si="20"/>
        <v/>
      </c>
    </row>
    <row r="207" spans="10:11" x14ac:dyDescent="0.25">
      <c r="J207" t="s">
        <v>829</v>
      </c>
      <c r="K207" t="str">
        <f>REPLACE(IF(B2&gt;0,REPLACE(J207,53,8,B2),""),20,3,I2)</f>
        <v>5.2. North America ABC Market Size and Forecast, by BB (2024-2032)</v>
      </c>
    </row>
    <row r="208" spans="10:11" x14ac:dyDescent="0.25">
      <c r="J208" t="s">
        <v>251</v>
      </c>
      <c r="K208" t="str">
        <f t="shared" ref="K208:K216" si="21">IF(B4&gt;0,REPLACE(J208,12,3,B4),"")</f>
        <v/>
      </c>
    </row>
    <row r="209" spans="10:11" x14ac:dyDescent="0.25">
      <c r="J209" t="s">
        <v>252</v>
      </c>
      <c r="K209" t="str">
        <f t="shared" si="21"/>
        <v/>
      </c>
    </row>
    <row r="210" spans="10:11" x14ac:dyDescent="0.25">
      <c r="J210" t="s">
        <v>253</v>
      </c>
      <c r="K210" t="str">
        <f t="shared" si="21"/>
        <v/>
      </c>
    </row>
    <row r="211" spans="10:11" x14ac:dyDescent="0.25">
      <c r="J211" t="s">
        <v>254</v>
      </c>
      <c r="K211" t="str">
        <f t="shared" si="21"/>
        <v/>
      </c>
    </row>
    <row r="212" spans="10:11" x14ac:dyDescent="0.25">
      <c r="J212" t="s">
        <v>255</v>
      </c>
      <c r="K212" t="str">
        <f t="shared" si="21"/>
        <v/>
      </c>
    </row>
    <row r="213" spans="10:11" x14ac:dyDescent="0.25">
      <c r="J213" t="s">
        <v>256</v>
      </c>
      <c r="K213" t="str">
        <f t="shared" si="21"/>
        <v/>
      </c>
    </row>
    <row r="214" spans="10:11" x14ac:dyDescent="0.25">
      <c r="J214" t="s">
        <v>257</v>
      </c>
      <c r="K214" t="str">
        <f t="shared" si="21"/>
        <v/>
      </c>
    </row>
    <row r="215" spans="10:11" x14ac:dyDescent="0.25">
      <c r="J215" t="s">
        <v>258</v>
      </c>
      <c r="K215" t="str">
        <f t="shared" si="21"/>
        <v/>
      </c>
    </row>
    <row r="216" spans="10:11" x14ac:dyDescent="0.25">
      <c r="J216" t="s">
        <v>259</v>
      </c>
      <c r="K216" t="str">
        <f t="shared" si="21"/>
        <v/>
      </c>
    </row>
    <row r="217" spans="10:11" x14ac:dyDescent="0.25">
      <c r="J217" t="s">
        <v>260</v>
      </c>
      <c r="K217" t="str">
        <f t="shared" ref="K217:K222" si="22">IF(B13&gt;0,REPLACE(J217,13,4,B13),"")</f>
        <v/>
      </c>
    </row>
    <row r="218" spans="10:11" x14ac:dyDescent="0.25">
      <c r="J218" t="s">
        <v>261</v>
      </c>
      <c r="K218" t="str">
        <f t="shared" si="22"/>
        <v/>
      </c>
    </row>
    <row r="219" spans="10:11" x14ac:dyDescent="0.25">
      <c r="J219" t="s">
        <v>262</v>
      </c>
      <c r="K219" t="str">
        <f t="shared" si="22"/>
        <v/>
      </c>
    </row>
    <row r="220" spans="10:11" x14ac:dyDescent="0.25">
      <c r="J220" t="s">
        <v>263</v>
      </c>
      <c r="K220" t="str">
        <f t="shared" si="22"/>
        <v/>
      </c>
    </row>
    <row r="221" spans="10:11" x14ac:dyDescent="0.25">
      <c r="J221" t="s">
        <v>264</v>
      </c>
      <c r="K221" t="str">
        <f t="shared" si="22"/>
        <v/>
      </c>
    </row>
    <row r="222" spans="10:11" x14ac:dyDescent="0.25">
      <c r="J222" t="s">
        <v>265</v>
      </c>
      <c r="K222" t="str">
        <f t="shared" si="22"/>
        <v/>
      </c>
    </row>
    <row r="223" spans="10:11" x14ac:dyDescent="0.25">
      <c r="J223" t="s">
        <v>830</v>
      </c>
      <c r="K223" t="str">
        <f>REPLACE(IF(C2&gt;0,REPLACE(J223,53,8,C2),""),20,3,I2)</f>
        <v>5.3. North America ABC Market Size and Forecast, by CC (2024-2032)</v>
      </c>
    </row>
    <row r="224" spans="10:11" x14ac:dyDescent="0.25">
      <c r="J224" t="s">
        <v>399</v>
      </c>
      <c r="K224" t="str">
        <f t="shared" ref="K224:K232" si="23">IF(C4&gt;0,REPLACE(J224,12,3,C4),"")</f>
        <v/>
      </c>
    </row>
    <row r="225" spans="10:11" x14ac:dyDescent="0.25">
      <c r="J225" t="s">
        <v>400</v>
      </c>
      <c r="K225" t="str">
        <f t="shared" si="23"/>
        <v/>
      </c>
    </row>
    <row r="226" spans="10:11" x14ac:dyDescent="0.25">
      <c r="J226" t="s">
        <v>401</v>
      </c>
      <c r="K226" t="str">
        <f t="shared" si="23"/>
        <v/>
      </c>
    </row>
    <row r="227" spans="10:11" x14ac:dyDescent="0.25">
      <c r="J227" t="s">
        <v>402</v>
      </c>
      <c r="K227" t="str">
        <f t="shared" si="23"/>
        <v/>
      </c>
    </row>
    <row r="228" spans="10:11" x14ac:dyDescent="0.25">
      <c r="J228" t="s">
        <v>403</v>
      </c>
      <c r="K228" t="str">
        <f t="shared" si="23"/>
        <v/>
      </c>
    </row>
    <row r="229" spans="10:11" x14ac:dyDescent="0.25">
      <c r="J229" t="s">
        <v>404</v>
      </c>
      <c r="K229" t="str">
        <f t="shared" si="23"/>
        <v/>
      </c>
    </row>
    <row r="230" spans="10:11" x14ac:dyDescent="0.25">
      <c r="J230" t="s">
        <v>405</v>
      </c>
      <c r="K230" t="str">
        <f t="shared" si="23"/>
        <v/>
      </c>
    </row>
    <row r="231" spans="10:11" x14ac:dyDescent="0.25">
      <c r="J231" t="s">
        <v>406</v>
      </c>
      <c r="K231" t="str">
        <f t="shared" si="23"/>
        <v/>
      </c>
    </row>
    <row r="232" spans="10:11" x14ac:dyDescent="0.25">
      <c r="J232" t="s">
        <v>407</v>
      </c>
      <c r="K232" t="str">
        <f t="shared" si="23"/>
        <v/>
      </c>
    </row>
    <row r="233" spans="10:11" x14ac:dyDescent="0.25">
      <c r="J233" t="s">
        <v>408</v>
      </c>
      <c r="K233" t="str">
        <f t="shared" ref="K233:K238" si="24">IF(C13&gt;0,REPLACE(J233,13,4,C13),"")</f>
        <v/>
      </c>
    </row>
    <row r="234" spans="10:11" x14ac:dyDescent="0.25">
      <c r="J234" t="s">
        <v>409</v>
      </c>
      <c r="K234" t="str">
        <f t="shared" si="24"/>
        <v/>
      </c>
    </row>
    <row r="235" spans="10:11" x14ac:dyDescent="0.25">
      <c r="J235" t="s">
        <v>410</v>
      </c>
      <c r="K235" t="str">
        <f t="shared" si="24"/>
        <v/>
      </c>
    </row>
    <row r="236" spans="10:11" x14ac:dyDescent="0.25">
      <c r="J236" t="s">
        <v>411</v>
      </c>
      <c r="K236" t="str">
        <f t="shared" si="24"/>
        <v/>
      </c>
    </row>
    <row r="237" spans="10:11" x14ac:dyDescent="0.25">
      <c r="J237" t="s">
        <v>412</v>
      </c>
      <c r="K237" t="str">
        <f t="shared" si="24"/>
        <v/>
      </c>
    </row>
    <row r="238" spans="10:11" x14ac:dyDescent="0.25">
      <c r="J238" t="s">
        <v>413</v>
      </c>
      <c r="K238" t="str">
        <f t="shared" si="24"/>
        <v/>
      </c>
    </row>
    <row r="239" spans="10:11" x14ac:dyDescent="0.25">
      <c r="J239" t="s">
        <v>831</v>
      </c>
      <c r="K239" t="str">
        <f>REPLACE(IF(D2&gt;0,REPLACE(J239,53,8,D2),""),20,3,I2)</f>
        <v>5.4. North America ABC Market Size and Forecast, by DD (2024-2032)</v>
      </c>
    </row>
    <row r="240" spans="10:11" x14ac:dyDescent="0.25">
      <c r="J240" t="s">
        <v>414</v>
      </c>
      <c r="K240" t="str">
        <f t="shared" ref="K240:K248" si="25">IF(D4&gt;0,REPLACE(J240,12,3,D4),"")</f>
        <v/>
      </c>
    </row>
    <row r="241" spans="10:11" x14ac:dyDescent="0.25">
      <c r="J241" t="s">
        <v>415</v>
      </c>
      <c r="K241" t="str">
        <f t="shared" si="25"/>
        <v/>
      </c>
    </row>
    <row r="242" spans="10:11" x14ac:dyDescent="0.25">
      <c r="J242" t="s">
        <v>416</v>
      </c>
      <c r="K242" t="str">
        <f t="shared" si="25"/>
        <v/>
      </c>
    </row>
    <row r="243" spans="10:11" x14ac:dyDescent="0.25">
      <c r="J243" t="s">
        <v>417</v>
      </c>
      <c r="K243" t="str">
        <f t="shared" si="25"/>
        <v/>
      </c>
    </row>
    <row r="244" spans="10:11" x14ac:dyDescent="0.25">
      <c r="J244" t="s">
        <v>418</v>
      </c>
      <c r="K244" t="str">
        <f t="shared" si="25"/>
        <v/>
      </c>
    </row>
    <row r="245" spans="10:11" x14ac:dyDescent="0.25">
      <c r="J245" t="s">
        <v>419</v>
      </c>
      <c r="K245" t="str">
        <f t="shared" si="25"/>
        <v/>
      </c>
    </row>
    <row r="246" spans="10:11" x14ac:dyDescent="0.25">
      <c r="J246" t="s">
        <v>420</v>
      </c>
      <c r="K246" t="str">
        <f t="shared" si="25"/>
        <v/>
      </c>
    </row>
    <row r="247" spans="10:11" x14ac:dyDescent="0.25">
      <c r="J247" t="s">
        <v>421</v>
      </c>
      <c r="K247" t="str">
        <f t="shared" si="25"/>
        <v/>
      </c>
    </row>
    <row r="248" spans="10:11" x14ac:dyDescent="0.25">
      <c r="J248" t="s">
        <v>422</v>
      </c>
      <c r="K248" t="str">
        <f t="shared" si="25"/>
        <v/>
      </c>
    </row>
    <row r="249" spans="10:11" x14ac:dyDescent="0.25">
      <c r="J249" t="s">
        <v>423</v>
      </c>
      <c r="K249" t="str">
        <f t="shared" ref="K249:K254" si="26">IF(D13&gt;0,REPLACE(J249,13,4,D13),"")</f>
        <v/>
      </c>
    </row>
    <row r="250" spans="10:11" x14ac:dyDescent="0.25">
      <c r="J250" t="s">
        <v>424</v>
      </c>
      <c r="K250" t="str">
        <f t="shared" si="26"/>
        <v/>
      </c>
    </row>
    <row r="251" spans="10:11" x14ac:dyDescent="0.25">
      <c r="J251" t="s">
        <v>425</v>
      </c>
      <c r="K251" t="str">
        <f t="shared" si="26"/>
        <v/>
      </c>
    </row>
    <row r="252" spans="10:11" x14ac:dyDescent="0.25">
      <c r="J252" t="s">
        <v>426</v>
      </c>
      <c r="K252" t="str">
        <f t="shared" si="26"/>
        <v/>
      </c>
    </row>
    <row r="253" spans="10:11" x14ac:dyDescent="0.25">
      <c r="J253" t="s">
        <v>427</v>
      </c>
      <c r="K253" t="str">
        <f t="shared" si="26"/>
        <v/>
      </c>
    </row>
    <row r="254" spans="10:11" x14ac:dyDescent="0.25">
      <c r="J254" t="s">
        <v>428</v>
      </c>
      <c r="K254" t="str">
        <f t="shared" si="26"/>
        <v/>
      </c>
    </row>
    <row r="255" spans="10:11" x14ac:dyDescent="0.25">
      <c r="J255" t="s">
        <v>832</v>
      </c>
      <c r="K255" t="str">
        <f>REPLACE(IF(E2&gt;0,REPLACE(J255,53,8,E2),""),20,3,I2)</f>
        <v>5.5. North America ABC Market Size and Forecast, by EE (2024-2032)</v>
      </c>
    </row>
    <row r="256" spans="10:11" x14ac:dyDescent="0.25">
      <c r="J256" t="s">
        <v>429</v>
      </c>
      <c r="K256" t="str">
        <f t="shared" ref="K256:K264" si="27">IF(E4&gt;0,REPLACE(J256,12,3,E4),"")</f>
        <v/>
      </c>
    </row>
    <row r="257" spans="10:11" x14ac:dyDescent="0.25">
      <c r="J257" t="s">
        <v>430</v>
      </c>
      <c r="K257" t="str">
        <f t="shared" si="27"/>
        <v/>
      </c>
    </row>
    <row r="258" spans="10:11" x14ac:dyDescent="0.25">
      <c r="J258" t="s">
        <v>431</v>
      </c>
      <c r="K258" t="str">
        <f t="shared" si="27"/>
        <v/>
      </c>
    </row>
    <row r="259" spans="10:11" x14ac:dyDescent="0.25">
      <c r="J259" t="s">
        <v>432</v>
      </c>
      <c r="K259" t="str">
        <f t="shared" si="27"/>
        <v/>
      </c>
    </row>
    <row r="260" spans="10:11" x14ac:dyDescent="0.25">
      <c r="J260" t="s">
        <v>433</v>
      </c>
      <c r="K260" t="str">
        <f t="shared" si="27"/>
        <v/>
      </c>
    </row>
    <row r="261" spans="10:11" x14ac:dyDescent="0.25">
      <c r="J261" t="s">
        <v>434</v>
      </c>
      <c r="K261" t="str">
        <f t="shared" si="27"/>
        <v/>
      </c>
    </row>
    <row r="262" spans="10:11" x14ac:dyDescent="0.25">
      <c r="J262" t="s">
        <v>435</v>
      </c>
      <c r="K262" t="str">
        <f t="shared" si="27"/>
        <v/>
      </c>
    </row>
    <row r="263" spans="10:11" x14ac:dyDescent="0.25">
      <c r="J263" t="s">
        <v>436</v>
      </c>
      <c r="K263" t="str">
        <f t="shared" si="27"/>
        <v/>
      </c>
    </row>
    <row r="264" spans="10:11" x14ac:dyDescent="0.25">
      <c r="J264" t="s">
        <v>437</v>
      </c>
      <c r="K264" t="str">
        <f t="shared" si="27"/>
        <v/>
      </c>
    </row>
    <row r="265" spans="10:11" x14ac:dyDescent="0.25">
      <c r="J265" t="s">
        <v>438</v>
      </c>
      <c r="K265" t="str">
        <f t="shared" ref="K265:K270" si="28">IF(E13&gt;0,REPLACE(J265,13,4,E13),"")</f>
        <v/>
      </c>
    </row>
    <row r="266" spans="10:11" x14ac:dyDescent="0.25">
      <c r="J266" t="s">
        <v>439</v>
      </c>
      <c r="K266" t="str">
        <f t="shared" si="28"/>
        <v/>
      </c>
    </row>
    <row r="267" spans="10:11" x14ac:dyDescent="0.25">
      <c r="J267" t="s">
        <v>440</v>
      </c>
      <c r="K267" t="str">
        <f t="shared" si="28"/>
        <v/>
      </c>
    </row>
    <row r="268" spans="10:11" x14ac:dyDescent="0.25">
      <c r="J268" t="s">
        <v>441</v>
      </c>
      <c r="K268" t="str">
        <f t="shared" si="28"/>
        <v/>
      </c>
    </row>
    <row r="269" spans="10:11" x14ac:dyDescent="0.25">
      <c r="J269" t="s">
        <v>442</v>
      </c>
      <c r="K269" t="str">
        <f t="shared" si="28"/>
        <v/>
      </c>
    </row>
    <row r="270" spans="10:11" x14ac:dyDescent="0.25">
      <c r="J270" t="s">
        <v>443</v>
      </c>
      <c r="K270" t="str">
        <f t="shared" si="28"/>
        <v/>
      </c>
    </row>
    <row r="271" spans="10:11" x14ac:dyDescent="0.25">
      <c r="J271" t="s">
        <v>833</v>
      </c>
      <c r="K271" t="str">
        <f>REPLACE(IF(F2&gt;0,REPLACE(J271,53,8,F2),""),20,3,I2)</f>
        <v>5.6. North America ABC Market Size and Forecast, by FF (2024-2032)</v>
      </c>
    </row>
    <row r="272" spans="10:11" x14ac:dyDescent="0.25">
      <c r="J272" t="s">
        <v>444</v>
      </c>
      <c r="K272" t="str">
        <f t="shared" ref="K272:K280" si="29">IF(F4&gt;0,REPLACE(J272,12,3,F4),"")</f>
        <v/>
      </c>
    </row>
    <row r="273" spans="10:11" x14ac:dyDescent="0.25">
      <c r="J273" t="s">
        <v>445</v>
      </c>
      <c r="K273" t="str">
        <f t="shared" si="29"/>
        <v/>
      </c>
    </row>
    <row r="274" spans="10:11" x14ac:dyDescent="0.25">
      <c r="J274" t="s">
        <v>446</v>
      </c>
      <c r="K274" t="str">
        <f t="shared" si="29"/>
        <v/>
      </c>
    </row>
    <row r="275" spans="10:11" x14ac:dyDescent="0.25">
      <c r="J275" t="s">
        <v>447</v>
      </c>
      <c r="K275" t="str">
        <f t="shared" si="29"/>
        <v/>
      </c>
    </row>
    <row r="276" spans="10:11" x14ac:dyDescent="0.25">
      <c r="J276" t="s">
        <v>448</v>
      </c>
      <c r="K276" t="str">
        <f t="shared" si="29"/>
        <v/>
      </c>
    </row>
    <row r="277" spans="10:11" x14ac:dyDescent="0.25">
      <c r="J277" t="s">
        <v>449</v>
      </c>
      <c r="K277" t="str">
        <f t="shared" si="29"/>
        <v/>
      </c>
    </row>
    <row r="278" spans="10:11" x14ac:dyDescent="0.25">
      <c r="J278" t="s">
        <v>450</v>
      </c>
      <c r="K278" t="str">
        <f t="shared" si="29"/>
        <v/>
      </c>
    </row>
    <row r="279" spans="10:11" x14ac:dyDescent="0.25">
      <c r="J279" t="s">
        <v>451</v>
      </c>
      <c r="K279" t="str">
        <f t="shared" si="29"/>
        <v/>
      </c>
    </row>
    <row r="280" spans="10:11" x14ac:dyDescent="0.25">
      <c r="J280" t="s">
        <v>452</v>
      </c>
      <c r="K280" t="str">
        <f t="shared" si="29"/>
        <v/>
      </c>
    </row>
    <row r="281" spans="10:11" x14ac:dyDescent="0.25">
      <c r="J281" t="s">
        <v>453</v>
      </c>
      <c r="K281" t="str">
        <f t="shared" ref="K281:K286" si="30">IF(F13&gt;0,REPLACE(J281,13,4,F13),"")</f>
        <v/>
      </c>
    </row>
    <row r="282" spans="10:11" x14ac:dyDescent="0.25">
      <c r="J282" t="s">
        <v>454</v>
      </c>
      <c r="K282" t="str">
        <f t="shared" si="30"/>
        <v/>
      </c>
    </row>
    <row r="283" spans="10:11" x14ac:dyDescent="0.25">
      <c r="J283" t="s">
        <v>455</v>
      </c>
      <c r="K283" t="str">
        <f t="shared" si="30"/>
        <v/>
      </c>
    </row>
    <row r="284" spans="10:11" x14ac:dyDescent="0.25">
      <c r="J284" t="s">
        <v>456</v>
      </c>
      <c r="K284" t="str">
        <f t="shared" si="30"/>
        <v/>
      </c>
    </row>
    <row r="285" spans="10:11" x14ac:dyDescent="0.25">
      <c r="J285" t="s">
        <v>457</v>
      </c>
      <c r="K285" t="str">
        <f t="shared" si="30"/>
        <v/>
      </c>
    </row>
    <row r="286" spans="10:11" x14ac:dyDescent="0.25">
      <c r="J286" t="s">
        <v>458</v>
      </c>
      <c r="K286" t="str">
        <f t="shared" si="30"/>
        <v/>
      </c>
    </row>
    <row r="287" spans="10:11" x14ac:dyDescent="0.25">
      <c r="J287" t="s">
        <v>834</v>
      </c>
      <c r="K287" t="str">
        <f>REPLACE(IF(G2&gt;0,REPLACE(J287,53,8,G2),""),20,3,I2)</f>
        <v>5.7. North America ABC Market Size and Forecast, by GG (2024-2032)</v>
      </c>
    </row>
    <row r="288" spans="10:11" x14ac:dyDescent="0.25">
      <c r="J288" t="s">
        <v>459</v>
      </c>
      <c r="K288" t="str">
        <f t="shared" ref="K288:K296" si="31">IF(G4&gt;0,REPLACE(J288,12,3,G4),"")</f>
        <v/>
      </c>
    </row>
    <row r="289" spans="10:11" x14ac:dyDescent="0.25">
      <c r="J289" t="s">
        <v>460</v>
      </c>
      <c r="K289" t="str">
        <f t="shared" si="31"/>
        <v/>
      </c>
    </row>
    <row r="290" spans="10:11" x14ac:dyDescent="0.25">
      <c r="J290" t="s">
        <v>461</v>
      </c>
      <c r="K290" t="str">
        <f t="shared" si="31"/>
        <v/>
      </c>
    </row>
    <row r="291" spans="10:11" x14ac:dyDescent="0.25">
      <c r="J291" t="s">
        <v>462</v>
      </c>
      <c r="K291" t="str">
        <f t="shared" si="31"/>
        <v/>
      </c>
    </row>
    <row r="292" spans="10:11" x14ac:dyDescent="0.25">
      <c r="J292" t="s">
        <v>463</v>
      </c>
      <c r="K292" t="str">
        <f t="shared" si="31"/>
        <v/>
      </c>
    </row>
    <row r="293" spans="10:11" x14ac:dyDescent="0.25">
      <c r="J293" t="s">
        <v>464</v>
      </c>
      <c r="K293" t="str">
        <f t="shared" si="31"/>
        <v/>
      </c>
    </row>
    <row r="294" spans="10:11" x14ac:dyDescent="0.25">
      <c r="J294" t="s">
        <v>465</v>
      </c>
      <c r="K294" t="str">
        <f t="shared" si="31"/>
        <v/>
      </c>
    </row>
    <row r="295" spans="10:11" x14ac:dyDescent="0.25">
      <c r="J295" t="s">
        <v>466</v>
      </c>
      <c r="K295" t="str">
        <f t="shared" si="31"/>
        <v/>
      </c>
    </row>
    <row r="296" spans="10:11" x14ac:dyDescent="0.25">
      <c r="J296" t="s">
        <v>467</v>
      </c>
      <c r="K296" t="str">
        <f t="shared" si="31"/>
        <v/>
      </c>
    </row>
    <row r="297" spans="10:11" x14ac:dyDescent="0.25">
      <c r="J297" t="s">
        <v>468</v>
      </c>
      <c r="K297" t="str">
        <f t="shared" ref="K297:K302" si="32">IF(G13&gt;0,REPLACE(J297,13,4,G13),"")</f>
        <v/>
      </c>
    </row>
    <row r="298" spans="10:11" x14ac:dyDescent="0.25">
      <c r="J298" t="s">
        <v>469</v>
      </c>
      <c r="K298" t="str">
        <f t="shared" si="32"/>
        <v/>
      </c>
    </row>
    <row r="299" spans="10:11" x14ac:dyDescent="0.25">
      <c r="J299" t="s">
        <v>470</v>
      </c>
      <c r="K299" t="str">
        <f t="shared" si="32"/>
        <v/>
      </c>
    </row>
    <row r="300" spans="10:11" x14ac:dyDescent="0.25">
      <c r="J300" t="s">
        <v>471</v>
      </c>
      <c r="K300" t="str">
        <f t="shared" si="32"/>
        <v/>
      </c>
    </row>
    <row r="301" spans="10:11" x14ac:dyDescent="0.25">
      <c r="J301" t="s">
        <v>472</v>
      </c>
      <c r="K301" t="str">
        <f t="shared" si="32"/>
        <v/>
      </c>
    </row>
    <row r="302" spans="10:11" x14ac:dyDescent="0.25">
      <c r="J302" t="s">
        <v>473</v>
      </c>
      <c r="K302" t="str">
        <f t="shared" si="32"/>
        <v/>
      </c>
    </row>
    <row r="303" spans="10:11" x14ac:dyDescent="0.25">
      <c r="J303" t="s">
        <v>835</v>
      </c>
      <c r="K303" t="str">
        <f>REPLACE(J303,20,3,I2)</f>
        <v>5.8. North America ABC Market Size and Forecast, by Country (2024-2032)</v>
      </c>
    </row>
    <row r="304" spans="10:11" x14ac:dyDescent="0.25">
      <c r="J304" t="s">
        <v>474</v>
      </c>
      <c r="K304" t="str">
        <f>J304</f>
        <v>&lt;strong&gt;&lt;em&gt;5.8.1. United States&lt;/em&gt;&lt;/strong&gt;</v>
      </c>
    </row>
    <row r="305" spans="10:11" x14ac:dyDescent="0.25">
      <c r="J305" t="s">
        <v>836</v>
      </c>
      <c r="K305" t="str">
        <f>REPLACE(IF(A2&gt;0,REPLACE(J305,61,8,A2),""),28,3,I2)</f>
        <v>&lt;em&gt;5.8.1.1. United States ABC Market Size and Forecast, by AA (2024-2032)&lt;/em&gt;</v>
      </c>
    </row>
    <row r="306" spans="10:11" x14ac:dyDescent="0.25">
      <c r="J306" t="s">
        <v>475</v>
      </c>
      <c r="K306" t="str">
        <f t="shared" ref="K306:K314" si="33">IF(A4&gt;0,REPLACE(J306,16,3,A4),"")</f>
        <v/>
      </c>
    </row>
    <row r="307" spans="10:11" x14ac:dyDescent="0.25">
      <c r="J307" t="s">
        <v>476</v>
      </c>
      <c r="K307" t="str">
        <f t="shared" si="33"/>
        <v/>
      </c>
    </row>
    <row r="308" spans="10:11" x14ac:dyDescent="0.25">
      <c r="J308" t="s">
        <v>477</v>
      </c>
      <c r="K308" t="str">
        <f t="shared" si="33"/>
        <v/>
      </c>
    </row>
    <row r="309" spans="10:11" x14ac:dyDescent="0.25">
      <c r="J309" t="s">
        <v>478</v>
      </c>
      <c r="K309" t="str">
        <f t="shared" si="33"/>
        <v/>
      </c>
    </row>
    <row r="310" spans="10:11" x14ac:dyDescent="0.25">
      <c r="J310" t="s">
        <v>479</v>
      </c>
      <c r="K310" t="str">
        <f t="shared" si="33"/>
        <v/>
      </c>
    </row>
    <row r="311" spans="10:11" x14ac:dyDescent="0.25">
      <c r="J311" t="s">
        <v>480</v>
      </c>
      <c r="K311" t="str">
        <f t="shared" si="33"/>
        <v/>
      </c>
    </row>
    <row r="312" spans="10:11" x14ac:dyDescent="0.25">
      <c r="J312" t="s">
        <v>481</v>
      </c>
      <c r="K312" t="str">
        <f t="shared" si="33"/>
        <v/>
      </c>
    </row>
    <row r="313" spans="10:11" x14ac:dyDescent="0.25">
      <c r="J313" t="s">
        <v>482</v>
      </c>
      <c r="K313" t="str">
        <f t="shared" si="33"/>
        <v/>
      </c>
    </row>
    <row r="314" spans="10:11" x14ac:dyDescent="0.25">
      <c r="J314" t="s">
        <v>483</v>
      </c>
      <c r="K314" t="str">
        <f t="shared" si="33"/>
        <v/>
      </c>
    </row>
    <row r="315" spans="10:11" x14ac:dyDescent="0.25">
      <c r="J315" t="s">
        <v>484</v>
      </c>
      <c r="K315" t="str">
        <f t="shared" ref="K315:K320" si="34">IF(A13&gt;0,REPLACE(J315,17,4,A13),"")</f>
        <v/>
      </c>
    </row>
    <row r="316" spans="10:11" x14ac:dyDescent="0.25">
      <c r="J316" t="s">
        <v>485</v>
      </c>
      <c r="K316" t="str">
        <f t="shared" si="34"/>
        <v/>
      </c>
    </row>
    <row r="317" spans="10:11" x14ac:dyDescent="0.25">
      <c r="J317" t="s">
        <v>486</v>
      </c>
      <c r="K317" t="str">
        <f t="shared" si="34"/>
        <v/>
      </c>
    </row>
    <row r="318" spans="10:11" x14ac:dyDescent="0.25">
      <c r="J318" t="s">
        <v>487</v>
      </c>
      <c r="K318" t="str">
        <f t="shared" si="34"/>
        <v/>
      </c>
    </row>
    <row r="319" spans="10:11" x14ac:dyDescent="0.25">
      <c r="J319" t="s">
        <v>488</v>
      </c>
      <c r="K319" t="str">
        <f t="shared" si="34"/>
        <v/>
      </c>
    </row>
    <row r="320" spans="10:11" x14ac:dyDescent="0.25">
      <c r="J320" t="s">
        <v>489</v>
      </c>
      <c r="K320" t="str">
        <f t="shared" si="34"/>
        <v/>
      </c>
    </row>
    <row r="321" spans="10:11" x14ac:dyDescent="0.25">
      <c r="J321" t="s">
        <v>837</v>
      </c>
      <c r="K321" t="str">
        <f>REPLACE(IF(B2&gt;0,REPLACE(J321,61,8,B2),""),28,3,I2)</f>
        <v>&lt;em&gt;5.8.1.2. United States ABC Market Size and Forecast, by BB (2024-2032)&lt;/em&gt;</v>
      </c>
    </row>
    <row r="322" spans="10:11" x14ac:dyDescent="0.25">
      <c r="J322" t="s">
        <v>490</v>
      </c>
      <c r="K322" t="str">
        <f t="shared" ref="K322:K330" si="35">IF(B4&gt;0,REPLACE(J322,16,3,B4),"")</f>
        <v/>
      </c>
    </row>
    <row r="323" spans="10:11" x14ac:dyDescent="0.25">
      <c r="J323" t="s">
        <v>491</v>
      </c>
      <c r="K323" t="str">
        <f t="shared" si="35"/>
        <v/>
      </c>
    </row>
    <row r="324" spans="10:11" x14ac:dyDescent="0.25">
      <c r="J324" t="s">
        <v>492</v>
      </c>
      <c r="K324" t="str">
        <f t="shared" si="35"/>
        <v/>
      </c>
    </row>
    <row r="325" spans="10:11" x14ac:dyDescent="0.25">
      <c r="J325" t="s">
        <v>493</v>
      </c>
      <c r="K325" t="str">
        <f t="shared" si="35"/>
        <v/>
      </c>
    </row>
    <row r="326" spans="10:11" x14ac:dyDescent="0.25">
      <c r="J326" t="s">
        <v>494</v>
      </c>
      <c r="K326" t="str">
        <f t="shared" si="35"/>
        <v/>
      </c>
    </row>
    <row r="327" spans="10:11" x14ac:dyDescent="0.25">
      <c r="J327" t="s">
        <v>495</v>
      </c>
      <c r="K327" t="str">
        <f t="shared" si="35"/>
        <v/>
      </c>
    </row>
    <row r="328" spans="10:11" x14ac:dyDescent="0.25">
      <c r="J328" t="s">
        <v>496</v>
      </c>
      <c r="K328" t="str">
        <f t="shared" si="35"/>
        <v/>
      </c>
    </row>
    <row r="329" spans="10:11" x14ac:dyDescent="0.25">
      <c r="J329" t="s">
        <v>497</v>
      </c>
      <c r="K329" t="str">
        <f t="shared" si="35"/>
        <v/>
      </c>
    </row>
    <row r="330" spans="10:11" x14ac:dyDescent="0.25">
      <c r="J330" t="s">
        <v>498</v>
      </c>
      <c r="K330" t="str">
        <f t="shared" si="35"/>
        <v/>
      </c>
    </row>
    <row r="331" spans="10:11" x14ac:dyDescent="0.25">
      <c r="J331" t="s">
        <v>499</v>
      </c>
      <c r="K331" t="str">
        <f t="shared" ref="K331:K336" si="36">IF(B13&gt;0,REPLACE(J331,17,4,B13),"")</f>
        <v/>
      </c>
    </row>
    <row r="332" spans="10:11" x14ac:dyDescent="0.25">
      <c r="J332" t="s">
        <v>500</v>
      </c>
      <c r="K332" t="str">
        <f t="shared" si="36"/>
        <v/>
      </c>
    </row>
    <row r="333" spans="10:11" x14ac:dyDescent="0.25">
      <c r="J333" t="s">
        <v>501</v>
      </c>
      <c r="K333" t="str">
        <f t="shared" si="36"/>
        <v/>
      </c>
    </row>
    <row r="334" spans="10:11" x14ac:dyDescent="0.25">
      <c r="J334" t="s">
        <v>502</v>
      </c>
      <c r="K334" t="str">
        <f t="shared" si="36"/>
        <v/>
      </c>
    </row>
    <row r="335" spans="10:11" x14ac:dyDescent="0.25">
      <c r="J335" t="s">
        <v>503</v>
      </c>
      <c r="K335" t="str">
        <f t="shared" si="36"/>
        <v/>
      </c>
    </row>
    <row r="336" spans="10:11" x14ac:dyDescent="0.25">
      <c r="J336" t="s">
        <v>504</v>
      </c>
      <c r="K336" t="str">
        <f t="shared" si="36"/>
        <v/>
      </c>
    </row>
    <row r="337" spans="10:11" x14ac:dyDescent="0.25">
      <c r="J337" t="s">
        <v>838</v>
      </c>
      <c r="K337" t="str">
        <f>REPLACE(IF(C2&gt;0,REPLACE(J337,61,8,C2),""),28,3,I2)</f>
        <v>&lt;em&gt;5.8.1.3. United States ABC Market Size and Forecast, by CC (2024-2032)&lt;/em&gt;</v>
      </c>
    </row>
    <row r="338" spans="10:11" x14ac:dyDescent="0.25">
      <c r="J338" t="s">
        <v>505</v>
      </c>
      <c r="K338" t="str">
        <f t="shared" ref="K338:K346" si="37">IF(C4&gt;0,REPLACE(J338,16,3,C4),"")</f>
        <v/>
      </c>
    </row>
    <row r="339" spans="10:11" x14ac:dyDescent="0.25">
      <c r="J339" t="s">
        <v>506</v>
      </c>
      <c r="K339" t="str">
        <f t="shared" si="37"/>
        <v/>
      </c>
    </row>
    <row r="340" spans="10:11" x14ac:dyDescent="0.25">
      <c r="J340" t="s">
        <v>507</v>
      </c>
      <c r="K340" t="str">
        <f t="shared" si="37"/>
        <v/>
      </c>
    </row>
    <row r="341" spans="10:11" x14ac:dyDescent="0.25">
      <c r="J341" t="s">
        <v>508</v>
      </c>
      <c r="K341" t="str">
        <f t="shared" si="37"/>
        <v/>
      </c>
    </row>
    <row r="342" spans="10:11" x14ac:dyDescent="0.25">
      <c r="J342" t="s">
        <v>509</v>
      </c>
      <c r="K342" t="str">
        <f t="shared" si="37"/>
        <v/>
      </c>
    </row>
    <row r="343" spans="10:11" x14ac:dyDescent="0.25">
      <c r="J343" t="s">
        <v>510</v>
      </c>
      <c r="K343" t="str">
        <f t="shared" si="37"/>
        <v/>
      </c>
    </row>
    <row r="344" spans="10:11" x14ac:dyDescent="0.25">
      <c r="J344" t="s">
        <v>511</v>
      </c>
      <c r="K344" t="str">
        <f t="shared" si="37"/>
        <v/>
      </c>
    </row>
    <row r="345" spans="10:11" x14ac:dyDescent="0.25">
      <c r="J345" t="s">
        <v>512</v>
      </c>
      <c r="K345" t="str">
        <f t="shared" si="37"/>
        <v/>
      </c>
    </row>
    <row r="346" spans="10:11" x14ac:dyDescent="0.25">
      <c r="J346" t="s">
        <v>513</v>
      </c>
      <c r="K346" t="str">
        <f t="shared" si="37"/>
        <v/>
      </c>
    </row>
    <row r="347" spans="10:11" x14ac:dyDescent="0.25">
      <c r="J347" t="s">
        <v>514</v>
      </c>
      <c r="K347" t="str">
        <f t="shared" ref="K347:K352" si="38">IF(C13&gt;0,REPLACE(J347,17,4,C13),"")</f>
        <v/>
      </c>
    </row>
    <row r="348" spans="10:11" x14ac:dyDescent="0.25">
      <c r="J348" t="s">
        <v>515</v>
      </c>
      <c r="K348" t="str">
        <f t="shared" si="38"/>
        <v/>
      </c>
    </row>
    <row r="349" spans="10:11" x14ac:dyDescent="0.25">
      <c r="J349" t="s">
        <v>516</v>
      </c>
      <c r="K349" t="str">
        <f t="shared" si="38"/>
        <v/>
      </c>
    </row>
    <row r="350" spans="10:11" x14ac:dyDescent="0.25">
      <c r="J350" t="s">
        <v>517</v>
      </c>
      <c r="K350" t="str">
        <f t="shared" si="38"/>
        <v/>
      </c>
    </row>
    <row r="351" spans="10:11" x14ac:dyDescent="0.25">
      <c r="J351" t="s">
        <v>518</v>
      </c>
      <c r="K351" t="str">
        <f t="shared" si="38"/>
        <v/>
      </c>
    </row>
    <row r="352" spans="10:11" x14ac:dyDescent="0.25">
      <c r="J352" t="s">
        <v>519</v>
      </c>
      <c r="K352" t="str">
        <f t="shared" si="38"/>
        <v/>
      </c>
    </row>
    <row r="353" spans="10:11" x14ac:dyDescent="0.25">
      <c r="J353" t="s">
        <v>839</v>
      </c>
      <c r="K353" t="str">
        <f>REPLACE(IF(D2&gt;0,REPLACE(J353,61,8,D2),""),28,3,I2)</f>
        <v>&lt;em&gt;5.8.1.4. United States ABC Market Size and Forecast, by DD (2024-2032)&lt;/em&gt;</v>
      </c>
    </row>
    <row r="354" spans="10:11" x14ac:dyDescent="0.25">
      <c r="J354" t="s">
        <v>520</v>
      </c>
      <c r="K354" t="str">
        <f t="shared" ref="K354:K362" si="39">IF(D4&gt;0,REPLACE(J354,16,3,D4),"")</f>
        <v/>
      </c>
    </row>
    <row r="355" spans="10:11" x14ac:dyDescent="0.25">
      <c r="J355" t="s">
        <v>521</v>
      </c>
      <c r="K355" t="str">
        <f t="shared" si="39"/>
        <v/>
      </c>
    </row>
    <row r="356" spans="10:11" x14ac:dyDescent="0.25">
      <c r="J356" t="s">
        <v>522</v>
      </c>
      <c r="K356" t="str">
        <f t="shared" si="39"/>
        <v/>
      </c>
    </row>
    <row r="357" spans="10:11" x14ac:dyDescent="0.25">
      <c r="J357" t="s">
        <v>523</v>
      </c>
      <c r="K357" t="str">
        <f t="shared" si="39"/>
        <v/>
      </c>
    </row>
    <row r="358" spans="10:11" x14ac:dyDescent="0.25">
      <c r="J358" t="s">
        <v>524</v>
      </c>
      <c r="K358" t="str">
        <f t="shared" si="39"/>
        <v/>
      </c>
    </row>
    <row r="359" spans="10:11" x14ac:dyDescent="0.25">
      <c r="J359" t="s">
        <v>525</v>
      </c>
      <c r="K359" t="str">
        <f t="shared" si="39"/>
        <v/>
      </c>
    </row>
    <row r="360" spans="10:11" x14ac:dyDescent="0.25">
      <c r="J360" t="s">
        <v>526</v>
      </c>
      <c r="K360" t="str">
        <f t="shared" si="39"/>
        <v/>
      </c>
    </row>
    <row r="361" spans="10:11" x14ac:dyDescent="0.25">
      <c r="J361" t="s">
        <v>527</v>
      </c>
      <c r="K361" t="str">
        <f t="shared" si="39"/>
        <v/>
      </c>
    </row>
    <row r="362" spans="10:11" x14ac:dyDescent="0.25">
      <c r="J362" t="s">
        <v>528</v>
      </c>
      <c r="K362" t="str">
        <f t="shared" si="39"/>
        <v/>
      </c>
    </row>
    <row r="363" spans="10:11" x14ac:dyDescent="0.25">
      <c r="J363" t="s">
        <v>529</v>
      </c>
      <c r="K363" t="str">
        <f t="shared" ref="K363:K368" si="40">IF(D13&gt;0,REPLACE(J363,17,4,D13),"")</f>
        <v/>
      </c>
    </row>
    <row r="364" spans="10:11" x14ac:dyDescent="0.25">
      <c r="J364" t="s">
        <v>530</v>
      </c>
      <c r="K364" t="str">
        <f t="shared" si="40"/>
        <v/>
      </c>
    </row>
    <row r="365" spans="10:11" x14ac:dyDescent="0.25">
      <c r="J365" t="s">
        <v>531</v>
      </c>
      <c r="K365" t="str">
        <f t="shared" si="40"/>
        <v/>
      </c>
    </row>
    <row r="366" spans="10:11" x14ac:dyDescent="0.25">
      <c r="J366" t="s">
        <v>532</v>
      </c>
      <c r="K366" t="str">
        <f t="shared" si="40"/>
        <v/>
      </c>
    </row>
    <row r="367" spans="10:11" x14ac:dyDescent="0.25">
      <c r="J367" t="s">
        <v>533</v>
      </c>
      <c r="K367" t="str">
        <f t="shared" si="40"/>
        <v/>
      </c>
    </row>
    <row r="368" spans="10:11" x14ac:dyDescent="0.25">
      <c r="J368" t="s">
        <v>534</v>
      </c>
      <c r="K368" t="str">
        <f t="shared" si="40"/>
        <v/>
      </c>
    </row>
    <row r="369" spans="10:11" x14ac:dyDescent="0.25">
      <c r="J369" t="s">
        <v>840</v>
      </c>
      <c r="K369" t="str">
        <f>REPLACE(IF(E2&gt;0,REPLACE(J369,61,8,E2),""),28,3,I2)</f>
        <v>&lt;em&gt;5.8.1.5. United States ABC Market Size and Forecast, by EE (2024-2032)&lt;/em&gt;</v>
      </c>
    </row>
    <row r="370" spans="10:11" x14ac:dyDescent="0.25">
      <c r="J370" t="s">
        <v>535</v>
      </c>
      <c r="K370" t="str">
        <f t="shared" ref="K370:K378" si="41">IF(E4&gt;0,REPLACE(J370,16,3,E4),"")</f>
        <v/>
      </c>
    </row>
    <row r="371" spans="10:11" x14ac:dyDescent="0.25">
      <c r="J371" t="s">
        <v>536</v>
      </c>
      <c r="K371" t="str">
        <f t="shared" si="41"/>
        <v/>
      </c>
    </row>
    <row r="372" spans="10:11" x14ac:dyDescent="0.25">
      <c r="J372" t="s">
        <v>537</v>
      </c>
      <c r="K372" t="str">
        <f t="shared" si="41"/>
        <v/>
      </c>
    </row>
    <row r="373" spans="10:11" x14ac:dyDescent="0.25">
      <c r="J373" t="s">
        <v>538</v>
      </c>
      <c r="K373" t="str">
        <f t="shared" si="41"/>
        <v/>
      </c>
    </row>
    <row r="374" spans="10:11" x14ac:dyDescent="0.25">
      <c r="J374" t="s">
        <v>539</v>
      </c>
      <c r="K374" t="str">
        <f t="shared" si="41"/>
        <v/>
      </c>
    </row>
    <row r="375" spans="10:11" x14ac:dyDescent="0.25">
      <c r="J375" t="s">
        <v>540</v>
      </c>
      <c r="K375" t="str">
        <f t="shared" si="41"/>
        <v/>
      </c>
    </row>
    <row r="376" spans="10:11" x14ac:dyDescent="0.25">
      <c r="J376" t="s">
        <v>541</v>
      </c>
      <c r="K376" t="str">
        <f t="shared" si="41"/>
        <v/>
      </c>
    </row>
    <row r="377" spans="10:11" x14ac:dyDescent="0.25">
      <c r="J377" t="s">
        <v>542</v>
      </c>
      <c r="K377" t="str">
        <f t="shared" si="41"/>
        <v/>
      </c>
    </row>
    <row r="378" spans="10:11" x14ac:dyDescent="0.25">
      <c r="J378" t="s">
        <v>543</v>
      </c>
      <c r="K378" t="str">
        <f t="shared" si="41"/>
        <v/>
      </c>
    </row>
    <row r="379" spans="10:11" x14ac:dyDescent="0.25">
      <c r="J379" t="s">
        <v>544</v>
      </c>
      <c r="K379" t="str">
        <f t="shared" ref="K379:K384" si="42">IF(E13&gt;0,REPLACE(J379,17,4,E13),"")</f>
        <v/>
      </c>
    </row>
    <row r="380" spans="10:11" x14ac:dyDescent="0.25">
      <c r="J380" t="s">
        <v>545</v>
      </c>
      <c r="K380" t="str">
        <f t="shared" si="42"/>
        <v/>
      </c>
    </row>
    <row r="381" spans="10:11" x14ac:dyDescent="0.25">
      <c r="J381" t="s">
        <v>546</v>
      </c>
      <c r="K381" t="str">
        <f t="shared" si="42"/>
        <v/>
      </c>
    </row>
    <row r="382" spans="10:11" x14ac:dyDescent="0.25">
      <c r="J382" t="s">
        <v>547</v>
      </c>
      <c r="K382" t="str">
        <f t="shared" si="42"/>
        <v/>
      </c>
    </row>
    <row r="383" spans="10:11" x14ac:dyDescent="0.25">
      <c r="J383" t="s">
        <v>548</v>
      </c>
      <c r="K383" t="str">
        <f t="shared" si="42"/>
        <v/>
      </c>
    </row>
    <row r="384" spans="10:11" x14ac:dyDescent="0.25">
      <c r="J384" t="s">
        <v>549</v>
      </c>
      <c r="K384" t="str">
        <f t="shared" si="42"/>
        <v/>
      </c>
    </row>
    <row r="385" spans="10:11" x14ac:dyDescent="0.25">
      <c r="J385" t="s">
        <v>841</v>
      </c>
      <c r="K385" t="str">
        <f>REPLACE(IF(F2&gt;0,REPLACE(J385,61,8,F2),""),28,3,I2)</f>
        <v>&lt;em&gt;5.8.1.6. United States ABC Market Size and Forecast, by FF (2024-2032)&lt;/em&gt;</v>
      </c>
    </row>
    <row r="386" spans="10:11" x14ac:dyDescent="0.25">
      <c r="J386" t="s">
        <v>550</v>
      </c>
      <c r="K386" t="str">
        <f t="shared" ref="K386:K394" si="43">IF(F4&gt;0,REPLACE(J386,16,3,F4),"")</f>
        <v/>
      </c>
    </row>
    <row r="387" spans="10:11" x14ac:dyDescent="0.25">
      <c r="J387" t="s">
        <v>551</v>
      </c>
      <c r="K387" t="str">
        <f t="shared" si="43"/>
        <v/>
      </c>
    </row>
    <row r="388" spans="10:11" x14ac:dyDescent="0.25">
      <c r="J388" t="s">
        <v>552</v>
      </c>
      <c r="K388" t="str">
        <f t="shared" si="43"/>
        <v/>
      </c>
    </row>
    <row r="389" spans="10:11" x14ac:dyDescent="0.25">
      <c r="J389" t="s">
        <v>553</v>
      </c>
      <c r="K389" t="str">
        <f t="shared" si="43"/>
        <v/>
      </c>
    </row>
    <row r="390" spans="10:11" x14ac:dyDescent="0.25">
      <c r="J390" t="s">
        <v>554</v>
      </c>
      <c r="K390" t="str">
        <f t="shared" si="43"/>
        <v/>
      </c>
    </row>
    <row r="391" spans="10:11" x14ac:dyDescent="0.25">
      <c r="J391" t="s">
        <v>555</v>
      </c>
      <c r="K391" t="str">
        <f t="shared" si="43"/>
        <v/>
      </c>
    </row>
    <row r="392" spans="10:11" x14ac:dyDescent="0.25">
      <c r="J392" t="s">
        <v>556</v>
      </c>
      <c r="K392" t="str">
        <f t="shared" si="43"/>
        <v/>
      </c>
    </row>
    <row r="393" spans="10:11" x14ac:dyDescent="0.25">
      <c r="J393" t="s">
        <v>557</v>
      </c>
      <c r="K393" t="str">
        <f t="shared" si="43"/>
        <v/>
      </c>
    </row>
    <row r="394" spans="10:11" x14ac:dyDescent="0.25">
      <c r="J394" t="s">
        <v>558</v>
      </c>
      <c r="K394" t="str">
        <f t="shared" si="43"/>
        <v/>
      </c>
    </row>
    <row r="395" spans="10:11" x14ac:dyDescent="0.25">
      <c r="J395" t="s">
        <v>559</v>
      </c>
      <c r="K395" t="str">
        <f t="shared" ref="K395:K400" si="44">IF(F13&gt;0,REPLACE(J395,17,4,F13),"")</f>
        <v/>
      </c>
    </row>
    <row r="396" spans="10:11" x14ac:dyDescent="0.25">
      <c r="J396" t="s">
        <v>560</v>
      </c>
      <c r="K396" t="str">
        <f t="shared" si="44"/>
        <v/>
      </c>
    </row>
    <row r="397" spans="10:11" x14ac:dyDescent="0.25">
      <c r="J397" t="s">
        <v>561</v>
      </c>
      <c r="K397" t="str">
        <f t="shared" si="44"/>
        <v/>
      </c>
    </row>
    <row r="398" spans="10:11" x14ac:dyDescent="0.25">
      <c r="J398" t="s">
        <v>562</v>
      </c>
      <c r="K398" t="str">
        <f t="shared" si="44"/>
        <v/>
      </c>
    </row>
    <row r="399" spans="10:11" x14ac:dyDescent="0.25">
      <c r="J399" t="s">
        <v>563</v>
      </c>
      <c r="K399" t="str">
        <f t="shared" si="44"/>
        <v/>
      </c>
    </row>
    <row r="400" spans="10:11" x14ac:dyDescent="0.25">
      <c r="J400" t="s">
        <v>564</v>
      </c>
      <c r="K400" t="str">
        <f t="shared" si="44"/>
        <v/>
      </c>
    </row>
    <row r="401" spans="10:11" x14ac:dyDescent="0.25">
      <c r="J401" t="s">
        <v>842</v>
      </c>
      <c r="K401" t="str">
        <f>REPLACE(IF(G2&gt;0,REPLACE(J401,61,8,G2),""),28,3,I2)</f>
        <v>&lt;em&gt;5.8.1.7. United States ABC Market Size and Forecast, by GG (2024-2032)&lt;/em&gt;</v>
      </c>
    </row>
    <row r="402" spans="10:11" x14ac:dyDescent="0.25">
      <c r="J402" t="s">
        <v>565</v>
      </c>
      <c r="K402" t="str">
        <f t="shared" ref="K402:K410" si="45">IF(G4&gt;0,REPLACE(J402,16,3,G4),"")</f>
        <v/>
      </c>
    </row>
    <row r="403" spans="10:11" x14ac:dyDescent="0.25">
      <c r="J403" t="s">
        <v>566</v>
      </c>
      <c r="K403" t="str">
        <f t="shared" si="45"/>
        <v/>
      </c>
    </row>
    <row r="404" spans="10:11" x14ac:dyDescent="0.25">
      <c r="J404" t="s">
        <v>567</v>
      </c>
      <c r="K404" t="str">
        <f t="shared" si="45"/>
        <v/>
      </c>
    </row>
    <row r="405" spans="10:11" x14ac:dyDescent="0.25">
      <c r="J405" t="s">
        <v>568</v>
      </c>
      <c r="K405" t="str">
        <f t="shared" si="45"/>
        <v/>
      </c>
    </row>
    <row r="406" spans="10:11" x14ac:dyDescent="0.25">
      <c r="J406" t="s">
        <v>569</v>
      </c>
      <c r="K406" t="str">
        <f t="shared" si="45"/>
        <v/>
      </c>
    </row>
    <row r="407" spans="10:11" x14ac:dyDescent="0.25">
      <c r="J407" t="s">
        <v>570</v>
      </c>
      <c r="K407" t="str">
        <f t="shared" si="45"/>
        <v/>
      </c>
    </row>
    <row r="408" spans="10:11" x14ac:dyDescent="0.25">
      <c r="J408" t="s">
        <v>571</v>
      </c>
      <c r="K408" t="str">
        <f t="shared" si="45"/>
        <v/>
      </c>
    </row>
    <row r="409" spans="10:11" x14ac:dyDescent="0.25">
      <c r="J409" t="s">
        <v>572</v>
      </c>
      <c r="K409" t="str">
        <f t="shared" si="45"/>
        <v/>
      </c>
    </row>
    <row r="410" spans="10:11" x14ac:dyDescent="0.25">
      <c r="J410" t="s">
        <v>573</v>
      </c>
      <c r="K410" t="str">
        <f t="shared" si="45"/>
        <v/>
      </c>
    </row>
    <row r="411" spans="10:11" x14ac:dyDescent="0.25">
      <c r="J411" t="s">
        <v>574</v>
      </c>
      <c r="K411" t="str">
        <f t="shared" ref="K411:K416" si="46">IF(G13&gt;0,REPLACE(J411,17,4,G13),"")</f>
        <v/>
      </c>
    </row>
    <row r="412" spans="10:11" x14ac:dyDescent="0.25">
      <c r="J412" t="s">
        <v>575</v>
      </c>
      <c r="K412" t="str">
        <f t="shared" si="46"/>
        <v/>
      </c>
    </row>
    <row r="413" spans="10:11" x14ac:dyDescent="0.25">
      <c r="J413" t="s">
        <v>576</v>
      </c>
      <c r="K413" t="str">
        <f t="shared" si="46"/>
        <v/>
      </c>
    </row>
    <row r="414" spans="10:11" x14ac:dyDescent="0.25">
      <c r="J414" t="s">
        <v>577</v>
      </c>
      <c r="K414" t="str">
        <f t="shared" si="46"/>
        <v/>
      </c>
    </row>
    <row r="415" spans="10:11" x14ac:dyDescent="0.25">
      <c r="J415" t="s">
        <v>578</v>
      </c>
      <c r="K415" t="str">
        <f t="shared" si="46"/>
        <v/>
      </c>
    </row>
    <row r="416" spans="10:11" x14ac:dyDescent="0.25">
      <c r="J416" t="s">
        <v>579</v>
      </c>
      <c r="K416" t="str">
        <f t="shared" si="46"/>
        <v/>
      </c>
    </row>
    <row r="417" spans="10:11" x14ac:dyDescent="0.25">
      <c r="J417" t="s">
        <v>580</v>
      </c>
      <c r="K417" t="str">
        <f>J417</f>
        <v>&lt;strong&gt;&lt;em&gt;5.8.2. Canada&lt;/em&gt;&lt;/strong&gt;</v>
      </c>
    </row>
    <row r="418" spans="10:11" x14ac:dyDescent="0.25">
      <c r="J418" t="s">
        <v>843</v>
      </c>
      <c r="K418" t="str">
        <f>REPLACE(IF(A2&gt;0,REPLACE(J418,54,8,A2),""),21,3,I2)</f>
        <v>&lt;em&gt;5.8.2.1. Canada ABC Market Size and Forecast, by AA (2024-2032)&lt;/em&gt;</v>
      </c>
    </row>
    <row r="419" spans="10:11" x14ac:dyDescent="0.25">
      <c r="J419" t="s">
        <v>581</v>
      </c>
      <c r="K419" t="str">
        <f t="shared" ref="K419:K427" si="47">IF(A4&gt;0,REPLACE(J419,16,3,A4),"")</f>
        <v/>
      </c>
    </row>
    <row r="420" spans="10:11" x14ac:dyDescent="0.25">
      <c r="J420" t="s">
        <v>582</v>
      </c>
      <c r="K420" t="str">
        <f t="shared" si="47"/>
        <v/>
      </c>
    </row>
    <row r="421" spans="10:11" x14ac:dyDescent="0.25">
      <c r="J421" t="s">
        <v>583</v>
      </c>
      <c r="K421" t="str">
        <f t="shared" si="47"/>
        <v/>
      </c>
    </row>
    <row r="422" spans="10:11" x14ac:dyDescent="0.25">
      <c r="J422" t="s">
        <v>584</v>
      </c>
      <c r="K422" t="str">
        <f t="shared" si="47"/>
        <v/>
      </c>
    </row>
    <row r="423" spans="10:11" x14ac:dyDescent="0.25">
      <c r="J423" t="s">
        <v>585</v>
      </c>
      <c r="K423" t="str">
        <f t="shared" si="47"/>
        <v/>
      </c>
    </row>
    <row r="424" spans="10:11" x14ac:dyDescent="0.25">
      <c r="J424" t="s">
        <v>586</v>
      </c>
      <c r="K424" t="str">
        <f t="shared" si="47"/>
        <v/>
      </c>
    </row>
    <row r="425" spans="10:11" x14ac:dyDescent="0.25">
      <c r="J425" t="s">
        <v>587</v>
      </c>
      <c r="K425" t="str">
        <f t="shared" si="47"/>
        <v/>
      </c>
    </row>
    <row r="426" spans="10:11" x14ac:dyDescent="0.25">
      <c r="J426" t="s">
        <v>588</v>
      </c>
      <c r="K426" t="str">
        <f t="shared" si="47"/>
        <v/>
      </c>
    </row>
    <row r="427" spans="10:11" x14ac:dyDescent="0.25">
      <c r="J427" t="s">
        <v>589</v>
      </c>
      <c r="K427" t="str">
        <f t="shared" si="47"/>
        <v/>
      </c>
    </row>
    <row r="428" spans="10:11" x14ac:dyDescent="0.25">
      <c r="J428" t="s">
        <v>590</v>
      </c>
      <c r="K428" t="str">
        <f t="shared" ref="K428:K433" si="48">IF(A13&gt;0,REPLACE(J428,17,4,A13),"")</f>
        <v/>
      </c>
    </row>
    <row r="429" spans="10:11" x14ac:dyDescent="0.25">
      <c r="J429" t="s">
        <v>591</v>
      </c>
      <c r="K429" t="str">
        <f t="shared" si="48"/>
        <v/>
      </c>
    </row>
    <row r="430" spans="10:11" x14ac:dyDescent="0.25">
      <c r="J430" t="s">
        <v>592</v>
      </c>
      <c r="K430" t="str">
        <f t="shared" si="48"/>
        <v/>
      </c>
    </row>
    <row r="431" spans="10:11" x14ac:dyDescent="0.25">
      <c r="J431" t="s">
        <v>593</v>
      </c>
      <c r="K431" t="str">
        <f t="shared" si="48"/>
        <v/>
      </c>
    </row>
    <row r="432" spans="10:11" x14ac:dyDescent="0.25">
      <c r="J432" t="s">
        <v>594</v>
      </c>
      <c r="K432" t="str">
        <f t="shared" si="48"/>
        <v/>
      </c>
    </row>
    <row r="433" spans="10:11" x14ac:dyDescent="0.25">
      <c r="J433" t="s">
        <v>595</v>
      </c>
      <c r="K433" t="str">
        <f t="shared" si="48"/>
        <v/>
      </c>
    </row>
    <row r="434" spans="10:11" x14ac:dyDescent="0.25">
      <c r="J434" t="s">
        <v>844</v>
      </c>
      <c r="K434" t="str">
        <f>REPLACE(IF(B2&gt;0,REPLACE(J434,54,8,B2),""),21,3,I2)</f>
        <v>&lt;em&gt;5.8.2.2. Canada ABC Market Size and Forecast, by BB (2024-2032)&lt;/em&gt;</v>
      </c>
    </row>
    <row r="435" spans="10:11" x14ac:dyDescent="0.25">
      <c r="J435" t="s">
        <v>596</v>
      </c>
      <c r="K435" t="str">
        <f t="shared" ref="K435:K443" si="49">IF(B4&gt;0,REPLACE(J435,16,3,B4),"")</f>
        <v/>
      </c>
    </row>
    <row r="436" spans="10:11" x14ac:dyDescent="0.25">
      <c r="J436" t="s">
        <v>597</v>
      </c>
      <c r="K436" t="str">
        <f t="shared" si="49"/>
        <v/>
      </c>
    </row>
    <row r="437" spans="10:11" x14ac:dyDescent="0.25">
      <c r="J437" t="s">
        <v>598</v>
      </c>
      <c r="K437" t="str">
        <f t="shared" si="49"/>
        <v/>
      </c>
    </row>
    <row r="438" spans="10:11" x14ac:dyDescent="0.25">
      <c r="J438" t="s">
        <v>599</v>
      </c>
      <c r="K438" t="str">
        <f t="shared" si="49"/>
        <v/>
      </c>
    </row>
    <row r="439" spans="10:11" x14ac:dyDescent="0.25">
      <c r="J439" t="s">
        <v>600</v>
      </c>
      <c r="K439" t="str">
        <f t="shared" si="49"/>
        <v/>
      </c>
    </row>
    <row r="440" spans="10:11" x14ac:dyDescent="0.25">
      <c r="J440" t="s">
        <v>601</v>
      </c>
      <c r="K440" t="str">
        <f t="shared" si="49"/>
        <v/>
      </c>
    </row>
    <row r="441" spans="10:11" x14ac:dyDescent="0.25">
      <c r="J441" t="s">
        <v>602</v>
      </c>
      <c r="K441" t="str">
        <f t="shared" si="49"/>
        <v/>
      </c>
    </row>
    <row r="442" spans="10:11" x14ac:dyDescent="0.25">
      <c r="J442" t="s">
        <v>603</v>
      </c>
      <c r="K442" t="str">
        <f t="shared" si="49"/>
        <v/>
      </c>
    </row>
    <row r="443" spans="10:11" x14ac:dyDescent="0.25">
      <c r="J443" t="s">
        <v>604</v>
      </c>
      <c r="K443" t="str">
        <f t="shared" si="49"/>
        <v/>
      </c>
    </row>
    <row r="444" spans="10:11" x14ac:dyDescent="0.25">
      <c r="J444" t="s">
        <v>605</v>
      </c>
      <c r="K444" t="str">
        <f t="shared" ref="K444:K449" si="50">IF(B13&gt;0,REPLACE(J444,17,4,B13),"")</f>
        <v/>
      </c>
    </row>
    <row r="445" spans="10:11" x14ac:dyDescent="0.25">
      <c r="J445" t="s">
        <v>606</v>
      </c>
      <c r="K445" t="str">
        <f t="shared" si="50"/>
        <v/>
      </c>
    </row>
    <row r="446" spans="10:11" x14ac:dyDescent="0.25">
      <c r="J446" t="s">
        <v>607</v>
      </c>
      <c r="K446" t="str">
        <f t="shared" si="50"/>
        <v/>
      </c>
    </row>
    <row r="447" spans="10:11" x14ac:dyDescent="0.25">
      <c r="J447" t="s">
        <v>608</v>
      </c>
      <c r="K447" t="str">
        <f t="shared" si="50"/>
        <v/>
      </c>
    </row>
    <row r="448" spans="10:11" x14ac:dyDescent="0.25">
      <c r="J448" t="s">
        <v>609</v>
      </c>
      <c r="K448" t="str">
        <f t="shared" si="50"/>
        <v/>
      </c>
    </row>
    <row r="449" spans="10:11" x14ac:dyDescent="0.25">
      <c r="J449" t="s">
        <v>610</v>
      </c>
      <c r="K449" t="str">
        <f t="shared" si="50"/>
        <v/>
      </c>
    </row>
    <row r="450" spans="10:11" x14ac:dyDescent="0.25">
      <c r="J450" t="s">
        <v>845</v>
      </c>
      <c r="K450" t="str">
        <f>REPLACE(IF(C2&gt;0,REPLACE(J450,54,8,C2),""),21,3,I2)</f>
        <v>&lt;em&gt;5.8.2.3. Canada ABC Market Size and Forecast, by CC (2024-2032)&lt;/em&gt;</v>
      </c>
    </row>
    <row r="451" spans="10:11" x14ac:dyDescent="0.25">
      <c r="J451" t="s">
        <v>611</v>
      </c>
      <c r="K451" t="str">
        <f t="shared" ref="K451:K459" si="51">IF(C4&gt;0,REPLACE(J451,16,3,C4),"")</f>
        <v/>
      </c>
    </row>
    <row r="452" spans="10:11" x14ac:dyDescent="0.25">
      <c r="J452" t="s">
        <v>612</v>
      </c>
      <c r="K452" t="str">
        <f t="shared" si="51"/>
        <v/>
      </c>
    </row>
    <row r="453" spans="10:11" x14ac:dyDescent="0.25">
      <c r="J453" t="s">
        <v>613</v>
      </c>
      <c r="K453" t="str">
        <f t="shared" si="51"/>
        <v/>
      </c>
    </row>
    <row r="454" spans="10:11" x14ac:dyDescent="0.25">
      <c r="J454" t="s">
        <v>614</v>
      </c>
      <c r="K454" t="str">
        <f t="shared" si="51"/>
        <v/>
      </c>
    </row>
    <row r="455" spans="10:11" x14ac:dyDescent="0.25">
      <c r="J455" t="s">
        <v>615</v>
      </c>
      <c r="K455" t="str">
        <f t="shared" si="51"/>
        <v/>
      </c>
    </row>
    <row r="456" spans="10:11" x14ac:dyDescent="0.25">
      <c r="J456" t="s">
        <v>616</v>
      </c>
      <c r="K456" t="str">
        <f t="shared" si="51"/>
        <v/>
      </c>
    </row>
    <row r="457" spans="10:11" x14ac:dyDescent="0.25">
      <c r="J457" t="s">
        <v>617</v>
      </c>
      <c r="K457" t="str">
        <f t="shared" si="51"/>
        <v/>
      </c>
    </row>
    <row r="458" spans="10:11" x14ac:dyDescent="0.25">
      <c r="J458" t="s">
        <v>618</v>
      </c>
      <c r="K458" t="str">
        <f t="shared" si="51"/>
        <v/>
      </c>
    </row>
    <row r="459" spans="10:11" x14ac:dyDescent="0.25">
      <c r="J459" t="s">
        <v>619</v>
      </c>
      <c r="K459" t="str">
        <f t="shared" si="51"/>
        <v/>
      </c>
    </row>
    <row r="460" spans="10:11" x14ac:dyDescent="0.25">
      <c r="J460" t="s">
        <v>620</v>
      </c>
      <c r="K460" t="str">
        <f t="shared" ref="K460:K465" si="52">IF(C13&gt;0,REPLACE(J460,17,4,C13),"")</f>
        <v/>
      </c>
    </row>
    <row r="461" spans="10:11" x14ac:dyDescent="0.25">
      <c r="J461" t="s">
        <v>621</v>
      </c>
      <c r="K461" t="str">
        <f t="shared" si="52"/>
        <v/>
      </c>
    </row>
    <row r="462" spans="10:11" x14ac:dyDescent="0.25">
      <c r="J462" t="s">
        <v>622</v>
      </c>
      <c r="K462" t="str">
        <f t="shared" si="52"/>
        <v/>
      </c>
    </row>
    <row r="463" spans="10:11" x14ac:dyDescent="0.25">
      <c r="J463" t="s">
        <v>623</v>
      </c>
      <c r="K463" t="str">
        <f t="shared" si="52"/>
        <v/>
      </c>
    </row>
    <row r="464" spans="10:11" x14ac:dyDescent="0.25">
      <c r="J464" t="s">
        <v>624</v>
      </c>
      <c r="K464" t="str">
        <f t="shared" si="52"/>
        <v/>
      </c>
    </row>
    <row r="465" spans="10:11" x14ac:dyDescent="0.25">
      <c r="J465" t="s">
        <v>625</v>
      </c>
      <c r="K465" t="str">
        <f t="shared" si="52"/>
        <v/>
      </c>
    </row>
    <row r="466" spans="10:11" x14ac:dyDescent="0.25">
      <c r="J466" t="s">
        <v>846</v>
      </c>
      <c r="K466" t="str">
        <f>REPLACE(IF(D2&gt;0,REPLACE(J466,54,8,D2),""),21,3,I2)</f>
        <v>&lt;em&gt;5.8.2.4. Canada ABC Market Size and Forecast, by DD (2024-2032)&lt;/em&gt;</v>
      </c>
    </row>
    <row r="467" spans="10:11" x14ac:dyDescent="0.25">
      <c r="J467" t="s">
        <v>626</v>
      </c>
      <c r="K467" t="str">
        <f t="shared" ref="K467:K475" si="53">IF(D4&gt;0,REPLACE(J467,16,3,D4),"")</f>
        <v/>
      </c>
    </row>
    <row r="468" spans="10:11" x14ac:dyDescent="0.25">
      <c r="J468" t="s">
        <v>627</v>
      </c>
      <c r="K468" t="str">
        <f t="shared" si="53"/>
        <v/>
      </c>
    </row>
    <row r="469" spans="10:11" x14ac:dyDescent="0.25">
      <c r="J469" t="s">
        <v>628</v>
      </c>
      <c r="K469" t="str">
        <f t="shared" si="53"/>
        <v/>
      </c>
    </row>
    <row r="470" spans="10:11" x14ac:dyDescent="0.25">
      <c r="J470" t="s">
        <v>629</v>
      </c>
      <c r="K470" t="str">
        <f t="shared" si="53"/>
        <v/>
      </c>
    </row>
    <row r="471" spans="10:11" x14ac:dyDescent="0.25">
      <c r="J471" t="s">
        <v>630</v>
      </c>
      <c r="K471" t="str">
        <f t="shared" si="53"/>
        <v/>
      </c>
    </row>
    <row r="472" spans="10:11" x14ac:dyDescent="0.25">
      <c r="J472" t="s">
        <v>631</v>
      </c>
      <c r="K472" t="str">
        <f t="shared" si="53"/>
        <v/>
      </c>
    </row>
    <row r="473" spans="10:11" x14ac:dyDescent="0.25">
      <c r="J473" t="s">
        <v>632</v>
      </c>
      <c r="K473" t="str">
        <f t="shared" si="53"/>
        <v/>
      </c>
    </row>
    <row r="474" spans="10:11" x14ac:dyDescent="0.25">
      <c r="J474" t="s">
        <v>633</v>
      </c>
      <c r="K474" t="str">
        <f t="shared" si="53"/>
        <v/>
      </c>
    </row>
    <row r="475" spans="10:11" x14ac:dyDescent="0.25">
      <c r="J475" t="s">
        <v>634</v>
      </c>
      <c r="K475" t="str">
        <f t="shared" si="53"/>
        <v/>
      </c>
    </row>
    <row r="476" spans="10:11" x14ac:dyDescent="0.25">
      <c r="J476" t="s">
        <v>635</v>
      </c>
      <c r="K476" t="str">
        <f t="shared" ref="K476:K481" si="54">IF(D13&gt;0,REPLACE(J476,17,4,D13),"")</f>
        <v/>
      </c>
    </row>
    <row r="477" spans="10:11" x14ac:dyDescent="0.25">
      <c r="J477" t="s">
        <v>636</v>
      </c>
      <c r="K477" t="str">
        <f t="shared" si="54"/>
        <v/>
      </c>
    </row>
    <row r="478" spans="10:11" x14ac:dyDescent="0.25">
      <c r="J478" t="s">
        <v>637</v>
      </c>
      <c r="K478" t="str">
        <f t="shared" si="54"/>
        <v/>
      </c>
    </row>
    <row r="479" spans="10:11" x14ac:dyDescent="0.25">
      <c r="J479" t="s">
        <v>638</v>
      </c>
      <c r="K479" t="str">
        <f t="shared" si="54"/>
        <v/>
      </c>
    </row>
    <row r="480" spans="10:11" x14ac:dyDescent="0.25">
      <c r="J480" t="s">
        <v>639</v>
      </c>
      <c r="K480" t="str">
        <f t="shared" si="54"/>
        <v/>
      </c>
    </row>
    <row r="481" spans="10:11" x14ac:dyDescent="0.25">
      <c r="J481" t="s">
        <v>640</v>
      </c>
      <c r="K481" t="str">
        <f t="shared" si="54"/>
        <v/>
      </c>
    </row>
    <row r="482" spans="10:11" x14ac:dyDescent="0.25">
      <c r="J482" t="s">
        <v>847</v>
      </c>
      <c r="K482" t="str">
        <f>REPLACE(IF(E2&gt;0,REPLACE(J482,54,8,E2),""),21,3,I2)</f>
        <v>&lt;em&gt;5.8.2.5. Canada ABC Market Size and Forecast, by EE (2024-2032)&lt;/em&gt;</v>
      </c>
    </row>
    <row r="483" spans="10:11" x14ac:dyDescent="0.25">
      <c r="J483" t="s">
        <v>641</v>
      </c>
      <c r="K483" t="str">
        <f t="shared" ref="K483:K491" si="55">IF(E4&gt;0,REPLACE(J483,16,3,E4),"")</f>
        <v/>
      </c>
    </row>
    <row r="484" spans="10:11" x14ac:dyDescent="0.25">
      <c r="J484" t="s">
        <v>642</v>
      </c>
      <c r="K484" t="str">
        <f t="shared" si="55"/>
        <v/>
      </c>
    </row>
    <row r="485" spans="10:11" x14ac:dyDescent="0.25">
      <c r="J485" t="s">
        <v>643</v>
      </c>
      <c r="K485" t="str">
        <f t="shared" si="55"/>
        <v/>
      </c>
    </row>
    <row r="486" spans="10:11" x14ac:dyDescent="0.25">
      <c r="J486" t="s">
        <v>644</v>
      </c>
      <c r="K486" t="str">
        <f t="shared" si="55"/>
        <v/>
      </c>
    </row>
    <row r="487" spans="10:11" x14ac:dyDescent="0.25">
      <c r="J487" t="s">
        <v>645</v>
      </c>
      <c r="K487" t="str">
        <f t="shared" si="55"/>
        <v/>
      </c>
    </row>
    <row r="488" spans="10:11" x14ac:dyDescent="0.25">
      <c r="J488" t="s">
        <v>646</v>
      </c>
      <c r="K488" t="str">
        <f t="shared" si="55"/>
        <v/>
      </c>
    </row>
    <row r="489" spans="10:11" x14ac:dyDescent="0.25">
      <c r="J489" t="s">
        <v>647</v>
      </c>
      <c r="K489" t="str">
        <f t="shared" si="55"/>
        <v/>
      </c>
    </row>
    <row r="490" spans="10:11" x14ac:dyDescent="0.25">
      <c r="J490" t="s">
        <v>648</v>
      </c>
      <c r="K490" t="str">
        <f t="shared" si="55"/>
        <v/>
      </c>
    </row>
    <row r="491" spans="10:11" x14ac:dyDescent="0.25">
      <c r="J491" t="s">
        <v>649</v>
      </c>
      <c r="K491" t="str">
        <f t="shared" si="55"/>
        <v/>
      </c>
    </row>
    <row r="492" spans="10:11" x14ac:dyDescent="0.25">
      <c r="J492" t="s">
        <v>650</v>
      </c>
      <c r="K492" t="str">
        <f t="shared" ref="K492:K497" si="56">IF(E13&gt;0,REPLACE(J492,17,4,E13),"")</f>
        <v/>
      </c>
    </row>
    <row r="493" spans="10:11" x14ac:dyDescent="0.25">
      <c r="J493" t="s">
        <v>651</v>
      </c>
      <c r="K493" t="str">
        <f t="shared" si="56"/>
        <v/>
      </c>
    </row>
    <row r="494" spans="10:11" x14ac:dyDescent="0.25">
      <c r="J494" t="s">
        <v>652</v>
      </c>
      <c r="K494" t="str">
        <f t="shared" si="56"/>
        <v/>
      </c>
    </row>
    <row r="495" spans="10:11" x14ac:dyDescent="0.25">
      <c r="J495" t="s">
        <v>653</v>
      </c>
      <c r="K495" t="str">
        <f t="shared" si="56"/>
        <v/>
      </c>
    </row>
    <row r="496" spans="10:11" x14ac:dyDescent="0.25">
      <c r="J496" t="s">
        <v>654</v>
      </c>
      <c r="K496" t="str">
        <f t="shared" si="56"/>
        <v/>
      </c>
    </row>
    <row r="497" spans="10:11" x14ac:dyDescent="0.25">
      <c r="J497" t="s">
        <v>655</v>
      </c>
      <c r="K497" t="str">
        <f t="shared" si="56"/>
        <v/>
      </c>
    </row>
    <row r="498" spans="10:11" x14ac:dyDescent="0.25">
      <c r="J498" t="s">
        <v>848</v>
      </c>
      <c r="K498" t="str">
        <f>REPLACE(IF(F2&gt;0,REPLACE(J498,54,8,F2),""),21,3,I2)</f>
        <v>&lt;em&gt;5.8.2.6. Canada ABC Market Size and Forecast, by FF (2024-2032)&lt;/em&gt;</v>
      </c>
    </row>
    <row r="499" spans="10:11" x14ac:dyDescent="0.25">
      <c r="J499" t="s">
        <v>656</v>
      </c>
      <c r="K499" t="str">
        <f t="shared" ref="K499:K507" si="57">IF(F4&gt;0,REPLACE(J499,16,3,F4),"")</f>
        <v/>
      </c>
    </row>
    <row r="500" spans="10:11" x14ac:dyDescent="0.25">
      <c r="J500" t="s">
        <v>657</v>
      </c>
      <c r="K500" t="str">
        <f t="shared" si="57"/>
        <v/>
      </c>
    </row>
    <row r="501" spans="10:11" x14ac:dyDescent="0.25">
      <c r="J501" t="s">
        <v>658</v>
      </c>
      <c r="K501" t="str">
        <f t="shared" si="57"/>
        <v/>
      </c>
    </row>
    <row r="502" spans="10:11" x14ac:dyDescent="0.25">
      <c r="J502" t="s">
        <v>659</v>
      </c>
      <c r="K502" t="str">
        <f t="shared" si="57"/>
        <v/>
      </c>
    </row>
    <row r="503" spans="10:11" x14ac:dyDescent="0.25">
      <c r="J503" t="s">
        <v>660</v>
      </c>
      <c r="K503" t="str">
        <f t="shared" si="57"/>
        <v/>
      </c>
    </row>
    <row r="504" spans="10:11" x14ac:dyDescent="0.25">
      <c r="J504" t="s">
        <v>661</v>
      </c>
      <c r="K504" t="str">
        <f t="shared" si="57"/>
        <v/>
      </c>
    </row>
    <row r="505" spans="10:11" x14ac:dyDescent="0.25">
      <c r="J505" t="s">
        <v>662</v>
      </c>
      <c r="K505" t="str">
        <f t="shared" si="57"/>
        <v/>
      </c>
    </row>
    <row r="506" spans="10:11" x14ac:dyDescent="0.25">
      <c r="J506" t="s">
        <v>663</v>
      </c>
      <c r="K506" t="str">
        <f t="shared" si="57"/>
        <v/>
      </c>
    </row>
    <row r="507" spans="10:11" x14ac:dyDescent="0.25">
      <c r="J507" t="s">
        <v>664</v>
      </c>
      <c r="K507" t="str">
        <f t="shared" si="57"/>
        <v/>
      </c>
    </row>
    <row r="508" spans="10:11" x14ac:dyDescent="0.25">
      <c r="J508" t="s">
        <v>665</v>
      </c>
      <c r="K508" t="str">
        <f t="shared" ref="K508:K513" si="58">IF(F13&gt;0,REPLACE(J508,17,4,F13),"")</f>
        <v/>
      </c>
    </row>
    <row r="509" spans="10:11" x14ac:dyDescent="0.25">
      <c r="J509" t="s">
        <v>666</v>
      </c>
      <c r="K509" t="str">
        <f t="shared" si="58"/>
        <v/>
      </c>
    </row>
    <row r="510" spans="10:11" x14ac:dyDescent="0.25">
      <c r="J510" t="s">
        <v>667</v>
      </c>
      <c r="K510" t="str">
        <f t="shared" si="58"/>
        <v/>
      </c>
    </row>
    <row r="511" spans="10:11" x14ac:dyDescent="0.25">
      <c r="J511" t="s">
        <v>668</v>
      </c>
      <c r="K511" t="str">
        <f t="shared" si="58"/>
        <v/>
      </c>
    </row>
    <row r="512" spans="10:11" ht="14.25" customHeight="1" x14ac:dyDescent="0.25">
      <c r="J512" t="s">
        <v>669</v>
      </c>
      <c r="K512" t="str">
        <f t="shared" si="58"/>
        <v/>
      </c>
    </row>
    <row r="513" spans="10:11" x14ac:dyDescent="0.25">
      <c r="J513" t="s">
        <v>670</v>
      </c>
      <c r="K513" t="str">
        <f t="shared" si="58"/>
        <v/>
      </c>
    </row>
    <row r="514" spans="10:11" x14ac:dyDescent="0.25">
      <c r="J514" t="s">
        <v>849</v>
      </c>
      <c r="K514" t="str">
        <f>REPLACE(IF(G2&gt;0,REPLACE(J514,54,8,G2),""),21,3,I2)</f>
        <v>&lt;em&gt;5.8.2.7. Canada ABC Market Size and Forecast, by GG (2024-2032)&lt;/em&gt;</v>
      </c>
    </row>
    <row r="515" spans="10:11" x14ac:dyDescent="0.25">
      <c r="J515" t="s">
        <v>671</v>
      </c>
      <c r="K515" t="str">
        <f t="shared" ref="K515:K523" si="59">IF(G4&gt;0,REPLACE(J515,16,3,G4),"")</f>
        <v/>
      </c>
    </row>
    <row r="516" spans="10:11" x14ac:dyDescent="0.25">
      <c r="J516" t="s">
        <v>672</v>
      </c>
      <c r="K516" t="str">
        <f t="shared" si="59"/>
        <v/>
      </c>
    </row>
    <row r="517" spans="10:11" x14ac:dyDescent="0.25">
      <c r="J517" t="s">
        <v>673</v>
      </c>
      <c r="K517" t="str">
        <f t="shared" si="59"/>
        <v/>
      </c>
    </row>
    <row r="518" spans="10:11" x14ac:dyDescent="0.25">
      <c r="J518" t="s">
        <v>674</v>
      </c>
      <c r="K518" t="str">
        <f t="shared" si="59"/>
        <v/>
      </c>
    </row>
    <row r="519" spans="10:11" x14ac:dyDescent="0.25">
      <c r="J519" t="s">
        <v>675</v>
      </c>
      <c r="K519" t="str">
        <f t="shared" si="59"/>
        <v/>
      </c>
    </row>
    <row r="520" spans="10:11" x14ac:dyDescent="0.25">
      <c r="J520" t="s">
        <v>676</v>
      </c>
      <c r="K520" t="str">
        <f t="shared" si="59"/>
        <v/>
      </c>
    </row>
    <row r="521" spans="10:11" x14ac:dyDescent="0.25">
      <c r="J521" t="s">
        <v>677</v>
      </c>
      <c r="K521" t="str">
        <f t="shared" si="59"/>
        <v/>
      </c>
    </row>
    <row r="522" spans="10:11" x14ac:dyDescent="0.25">
      <c r="J522" t="s">
        <v>678</v>
      </c>
      <c r="K522" t="str">
        <f t="shared" si="59"/>
        <v/>
      </c>
    </row>
    <row r="523" spans="10:11" x14ac:dyDescent="0.25">
      <c r="J523" t="s">
        <v>679</v>
      </c>
      <c r="K523" t="str">
        <f t="shared" si="59"/>
        <v/>
      </c>
    </row>
    <row r="524" spans="10:11" x14ac:dyDescent="0.25">
      <c r="J524" t="s">
        <v>680</v>
      </c>
      <c r="K524" t="str">
        <f t="shared" ref="K524:K529" si="60">IF(G13&gt;0,REPLACE(J524,17,4,G13),"")</f>
        <v/>
      </c>
    </row>
    <row r="525" spans="10:11" x14ac:dyDescent="0.25">
      <c r="J525" t="s">
        <v>681</v>
      </c>
      <c r="K525" t="str">
        <f t="shared" si="60"/>
        <v/>
      </c>
    </row>
    <row r="526" spans="10:11" x14ac:dyDescent="0.25">
      <c r="J526" t="s">
        <v>682</v>
      </c>
      <c r="K526" t="str">
        <f t="shared" si="60"/>
        <v/>
      </c>
    </row>
    <row r="527" spans="10:11" x14ac:dyDescent="0.25">
      <c r="J527" t="s">
        <v>683</v>
      </c>
      <c r="K527" t="str">
        <f t="shared" si="60"/>
        <v/>
      </c>
    </row>
    <row r="528" spans="10:11" x14ac:dyDescent="0.25">
      <c r="J528" t="s">
        <v>684</v>
      </c>
      <c r="K528" t="str">
        <f t="shared" si="60"/>
        <v/>
      </c>
    </row>
    <row r="529" spans="10:11" x14ac:dyDescent="0.25">
      <c r="J529" t="s">
        <v>685</v>
      </c>
      <c r="K529" t="str">
        <f t="shared" si="60"/>
        <v/>
      </c>
    </row>
    <row r="530" spans="10:11" x14ac:dyDescent="0.25">
      <c r="J530" t="s">
        <v>686</v>
      </c>
      <c r="K530" t="str">
        <f>J530</f>
        <v>&lt;strong&gt;&lt;em&gt;5.8.3. Mexico&lt;/em&gt;&lt;/strong&gt;</v>
      </c>
    </row>
    <row r="531" spans="10:11" x14ac:dyDescent="0.25">
      <c r="J531" t="s">
        <v>850</v>
      </c>
      <c r="K531" t="str">
        <f>REPLACE(IF(A2&gt;0,REPLACE(J531,54,8,A2),""),21,3,I2)</f>
        <v>&lt;em&gt;5.8.3.1. Mexico ABC Market Size and Forecast, by AA (2024-2032)&lt;/em&gt;</v>
      </c>
    </row>
    <row r="532" spans="10:11" x14ac:dyDescent="0.25">
      <c r="J532" t="s">
        <v>687</v>
      </c>
      <c r="K532" t="str">
        <f t="shared" ref="K532:K540" si="61">IF(A4&gt;0,REPLACE(J532,16,3,A4),"")</f>
        <v/>
      </c>
    </row>
    <row r="533" spans="10:11" x14ac:dyDescent="0.25">
      <c r="J533" t="s">
        <v>688</v>
      </c>
      <c r="K533" t="str">
        <f t="shared" si="61"/>
        <v/>
      </c>
    </row>
    <row r="534" spans="10:11" x14ac:dyDescent="0.25">
      <c r="J534" t="s">
        <v>689</v>
      </c>
      <c r="K534" t="str">
        <f t="shared" si="61"/>
        <v/>
      </c>
    </row>
    <row r="535" spans="10:11" x14ac:dyDescent="0.25">
      <c r="J535" t="s">
        <v>690</v>
      </c>
      <c r="K535" t="str">
        <f t="shared" si="61"/>
        <v/>
      </c>
    </row>
    <row r="536" spans="10:11" x14ac:dyDescent="0.25">
      <c r="J536" t="s">
        <v>691</v>
      </c>
      <c r="K536" t="str">
        <f t="shared" si="61"/>
        <v/>
      </c>
    </row>
    <row r="537" spans="10:11" x14ac:dyDescent="0.25">
      <c r="J537" t="s">
        <v>692</v>
      </c>
      <c r="K537" t="str">
        <f t="shared" si="61"/>
        <v/>
      </c>
    </row>
    <row r="538" spans="10:11" x14ac:dyDescent="0.25">
      <c r="J538" t="s">
        <v>693</v>
      </c>
      <c r="K538" t="str">
        <f t="shared" si="61"/>
        <v/>
      </c>
    </row>
    <row r="539" spans="10:11" x14ac:dyDescent="0.25">
      <c r="J539" t="s">
        <v>694</v>
      </c>
      <c r="K539" t="str">
        <f t="shared" si="61"/>
        <v/>
      </c>
    </row>
    <row r="540" spans="10:11" x14ac:dyDescent="0.25">
      <c r="J540" t="s">
        <v>695</v>
      </c>
      <c r="K540" t="str">
        <f t="shared" si="61"/>
        <v/>
      </c>
    </row>
    <row r="541" spans="10:11" x14ac:dyDescent="0.25">
      <c r="J541" t="s">
        <v>696</v>
      </c>
      <c r="K541" t="str">
        <f t="shared" ref="K541:K546" si="62">IF(A13&gt;0,REPLACE(J541,17,4,A13),"")</f>
        <v/>
      </c>
    </row>
    <row r="542" spans="10:11" x14ac:dyDescent="0.25">
      <c r="J542" t="s">
        <v>697</v>
      </c>
      <c r="K542" t="str">
        <f t="shared" si="62"/>
        <v/>
      </c>
    </row>
    <row r="543" spans="10:11" x14ac:dyDescent="0.25">
      <c r="J543" t="s">
        <v>698</v>
      </c>
      <c r="K543" t="str">
        <f t="shared" si="62"/>
        <v/>
      </c>
    </row>
    <row r="544" spans="10:11" x14ac:dyDescent="0.25">
      <c r="J544" t="s">
        <v>699</v>
      </c>
      <c r="K544" t="str">
        <f t="shared" si="62"/>
        <v/>
      </c>
    </row>
    <row r="545" spans="10:11" x14ac:dyDescent="0.25">
      <c r="J545" t="s">
        <v>700</v>
      </c>
      <c r="K545" t="str">
        <f t="shared" si="62"/>
        <v/>
      </c>
    </row>
    <row r="546" spans="10:11" x14ac:dyDescent="0.25">
      <c r="J546" t="s">
        <v>701</v>
      </c>
      <c r="K546" t="str">
        <f t="shared" si="62"/>
        <v/>
      </c>
    </row>
    <row r="547" spans="10:11" x14ac:dyDescent="0.25">
      <c r="J547" t="s">
        <v>851</v>
      </c>
      <c r="K547" t="str">
        <f>REPLACE(IF(B2&gt;0,REPLACE(J547,54,8,B2),""),21,3,I2)</f>
        <v>&lt;em&gt;5.8.3.2. Mexico ABC Market Size and Forecast, by BB (2024-2032)&lt;/em&gt;</v>
      </c>
    </row>
    <row r="548" spans="10:11" x14ac:dyDescent="0.25">
      <c r="J548" t="s">
        <v>702</v>
      </c>
      <c r="K548" t="str">
        <f t="shared" ref="K548:K556" si="63">IF(B4&gt;0,REPLACE(J548,16,3,B4),"")</f>
        <v/>
      </c>
    </row>
    <row r="549" spans="10:11" x14ac:dyDescent="0.25">
      <c r="J549" t="s">
        <v>703</v>
      </c>
      <c r="K549" t="str">
        <f t="shared" si="63"/>
        <v/>
      </c>
    </row>
    <row r="550" spans="10:11" x14ac:dyDescent="0.25">
      <c r="J550" t="s">
        <v>704</v>
      </c>
      <c r="K550" t="str">
        <f t="shared" si="63"/>
        <v/>
      </c>
    </row>
    <row r="551" spans="10:11" x14ac:dyDescent="0.25">
      <c r="J551" t="s">
        <v>705</v>
      </c>
      <c r="K551" t="str">
        <f t="shared" si="63"/>
        <v/>
      </c>
    </row>
    <row r="552" spans="10:11" x14ac:dyDescent="0.25">
      <c r="J552" t="s">
        <v>706</v>
      </c>
      <c r="K552" t="str">
        <f t="shared" si="63"/>
        <v/>
      </c>
    </row>
    <row r="553" spans="10:11" x14ac:dyDescent="0.25">
      <c r="J553" t="s">
        <v>707</v>
      </c>
      <c r="K553" t="str">
        <f t="shared" si="63"/>
        <v/>
      </c>
    </row>
    <row r="554" spans="10:11" x14ac:dyDescent="0.25">
      <c r="J554" t="s">
        <v>708</v>
      </c>
      <c r="K554" t="str">
        <f t="shared" si="63"/>
        <v/>
      </c>
    </row>
    <row r="555" spans="10:11" x14ac:dyDescent="0.25">
      <c r="J555" t="s">
        <v>709</v>
      </c>
      <c r="K555" t="str">
        <f t="shared" si="63"/>
        <v/>
      </c>
    </row>
    <row r="556" spans="10:11" x14ac:dyDescent="0.25">
      <c r="J556" t="s">
        <v>710</v>
      </c>
      <c r="K556" t="str">
        <f t="shared" si="63"/>
        <v/>
      </c>
    </row>
    <row r="557" spans="10:11" x14ac:dyDescent="0.25">
      <c r="J557" t="s">
        <v>711</v>
      </c>
      <c r="K557" t="str">
        <f t="shared" ref="K557:K562" si="64">IF(B13&gt;0,REPLACE(J557,17,4,B13),"")</f>
        <v/>
      </c>
    </row>
    <row r="558" spans="10:11" x14ac:dyDescent="0.25">
      <c r="J558" t="s">
        <v>712</v>
      </c>
      <c r="K558" t="str">
        <f t="shared" si="64"/>
        <v/>
      </c>
    </row>
    <row r="559" spans="10:11" x14ac:dyDescent="0.25">
      <c r="J559" t="s">
        <v>713</v>
      </c>
      <c r="K559" t="str">
        <f t="shared" si="64"/>
        <v/>
      </c>
    </row>
    <row r="560" spans="10:11" x14ac:dyDescent="0.25">
      <c r="J560" t="s">
        <v>714</v>
      </c>
      <c r="K560" t="str">
        <f t="shared" si="64"/>
        <v/>
      </c>
    </row>
    <row r="561" spans="10:11" x14ac:dyDescent="0.25">
      <c r="J561" t="s">
        <v>715</v>
      </c>
      <c r="K561" t="str">
        <f t="shared" si="64"/>
        <v/>
      </c>
    </row>
    <row r="562" spans="10:11" x14ac:dyDescent="0.25">
      <c r="J562" t="s">
        <v>716</v>
      </c>
      <c r="K562" t="str">
        <f t="shared" si="64"/>
        <v/>
      </c>
    </row>
    <row r="563" spans="10:11" x14ac:dyDescent="0.25">
      <c r="J563" t="s">
        <v>852</v>
      </c>
      <c r="K563" t="str">
        <f>REPLACE(IF(C2&gt;0,REPLACE(J563,54,8,C2),""),21,3,I2)</f>
        <v>&lt;em&gt;5.8.3.3. Mexico ABC Market Size and Forecast, by CC (2024-2032)&lt;/em&gt;</v>
      </c>
    </row>
    <row r="564" spans="10:11" x14ac:dyDescent="0.25">
      <c r="J564" t="s">
        <v>717</v>
      </c>
      <c r="K564" t="str">
        <f t="shared" ref="K564:K572" si="65">IF(C4&gt;0,REPLACE(J564,16,3,C4),"")</f>
        <v/>
      </c>
    </row>
    <row r="565" spans="10:11" x14ac:dyDescent="0.25">
      <c r="J565" t="s">
        <v>718</v>
      </c>
      <c r="K565" t="str">
        <f t="shared" si="65"/>
        <v/>
      </c>
    </row>
    <row r="566" spans="10:11" x14ac:dyDescent="0.25">
      <c r="J566" t="s">
        <v>719</v>
      </c>
      <c r="K566" t="str">
        <f t="shared" si="65"/>
        <v/>
      </c>
    </row>
    <row r="567" spans="10:11" x14ac:dyDescent="0.25">
      <c r="J567" t="s">
        <v>720</v>
      </c>
      <c r="K567" t="str">
        <f t="shared" si="65"/>
        <v/>
      </c>
    </row>
    <row r="568" spans="10:11" x14ac:dyDescent="0.25">
      <c r="J568" t="s">
        <v>721</v>
      </c>
      <c r="K568" t="str">
        <f t="shared" si="65"/>
        <v/>
      </c>
    </row>
    <row r="569" spans="10:11" x14ac:dyDescent="0.25">
      <c r="J569" t="s">
        <v>722</v>
      </c>
      <c r="K569" t="str">
        <f t="shared" si="65"/>
        <v/>
      </c>
    </row>
    <row r="570" spans="10:11" x14ac:dyDescent="0.25">
      <c r="J570" t="s">
        <v>723</v>
      </c>
      <c r="K570" t="str">
        <f t="shared" si="65"/>
        <v/>
      </c>
    </row>
    <row r="571" spans="10:11" x14ac:dyDescent="0.25">
      <c r="J571" t="s">
        <v>724</v>
      </c>
      <c r="K571" t="str">
        <f t="shared" si="65"/>
        <v/>
      </c>
    </row>
    <row r="572" spans="10:11" x14ac:dyDescent="0.25">
      <c r="J572" t="s">
        <v>725</v>
      </c>
      <c r="K572" t="str">
        <f t="shared" si="65"/>
        <v/>
      </c>
    </row>
    <row r="573" spans="10:11" x14ac:dyDescent="0.25">
      <c r="J573" t="s">
        <v>726</v>
      </c>
      <c r="K573" t="str">
        <f t="shared" ref="K573:K578" si="66">IF(C13&gt;0,REPLACE(J573,17,4,C13),"")</f>
        <v/>
      </c>
    </row>
    <row r="574" spans="10:11" x14ac:dyDescent="0.25">
      <c r="J574" t="s">
        <v>727</v>
      </c>
      <c r="K574" t="str">
        <f t="shared" si="66"/>
        <v/>
      </c>
    </row>
    <row r="575" spans="10:11" x14ac:dyDescent="0.25">
      <c r="J575" t="s">
        <v>728</v>
      </c>
      <c r="K575" t="str">
        <f t="shared" si="66"/>
        <v/>
      </c>
    </row>
    <row r="576" spans="10:11" x14ac:dyDescent="0.25">
      <c r="J576" t="s">
        <v>729</v>
      </c>
      <c r="K576" t="str">
        <f t="shared" si="66"/>
        <v/>
      </c>
    </row>
    <row r="577" spans="10:11" x14ac:dyDescent="0.25">
      <c r="J577" t="s">
        <v>730</v>
      </c>
      <c r="K577" t="str">
        <f t="shared" si="66"/>
        <v/>
      </c>
    </row>
    <row r="578" spans="10:11" x14ac:dyDescent="0.25">
      <c r="J578" t="s">
        <v>731</v>
      </c>
      <c r="K578" t="str">
        <f t="shared" si="66"/>
        <v/>
      </c>
    </row>
    <row r="579" spans="10:11" x14ac:dyDescent="0.25">
      <c r="J579" t="s">
        <v>853</v>
      </c>
      <c r="K579" t="str">
        <f>REPLACE(IF(D2&gt;0,REPLACE(J579,54,8,D2),""),21,3,I2)</f>
        <v>&lt;em&gt;5.8.3.4. Mexico ABC Market Size and Forecast, by DD (2024-2032)&lt;/em&gt;</v>
      </c>
    </row>
    <row r="580" spans="10:11" x14ac:dyDescent="0.25">
      <c r="J580" t="s">
        <v>732</v>
      </c>
      <c r="K580" t="str">
        <f t="shared" ref="K580:K588" si="67">IF(D4&gt;0,REPLACE(J580,16,3,D4),"")</f>
        <v/>
      </c>
    </row>
    <row r="581" spans="10:11" x14ac:dyDescent="0.25">
      <c r="J581" t="s">
        <v>733</v>
      </c>
      <c r="K581" t="str">
        <f t="shared" si="67"/>
        <v/>
      </c>
    </row>
    <row r="582" spans="10:11" x14ac:dyDescent="0.25">
      <c r="J582" t="s">
        <v>734</v>
      </c>
      <c r="K582" t="str">
        <f t="shared" si="67"/>
        <v/>
      </c>
    </row>
    <row r="583" spans="10:11" x14ac:dyDescent="0.25">
      <c r="J583" t="s">
        <v>735</v>
      </c>
      <c r="K583" t="str">
        <f t="shared" si="67"/>
        <v/>
      </c>
    </row>
    <row r="584" spans="10:11" x14ac:dyDescent="0.25">
      <c r="J584" t="s">
        <v>736</v>
      </c>
      <c r="K584" t="str">
        <f t="shared" si="67"/>
        <v/>
      </c>
    </row>
    <row r="585" spans="10:11" x14ac:dyDescent="0.25">
      <c r="J585" t="s">
        <v>737</v>
      </c>
      <c r="K585" t="str">
        <f t="shared" si="67"/>
        <v/>
      </c>
    </row>
    <row r="586" spans="10:11" x14ac:dyDescent="0.25">
      <c r="J586" t="s">
        <v>738</v>
      </c>
      <c r="K586" t="str">
        <f t="shared" si="67"/>
        <v/>
      </c>
    </row>
    <row r="587" spans="10:11" x14ac:dyDescent="0.25">
      <c r="J587" t="s">
        <v>739</v>
      </c>
      <c r="K587" t="str">
        <f t="shared" si="67"/>
        <v/>
      </c>
    </row>
    <row r="588" spans="10:11" x14ac:dyDescent="0.25">
      <c r="J588" t="s">
        <v>740</v>
      </c>
      <c r="K588" t="str">
        <f t="shared" si="67"/>
        <v/>
      </c>
    </row>
    <row r="589" spans="10:11" x14ac:dyDescent="0.25">
      <c r="J589" t="s">
        <v>741</v>
      </c>
      <c r="K589" t="str">
        <f t="shared" ref="K589:K594" si="68">IF(D13&gt;0,REPLACE(J589,17,4,D13),"")</f>
        <v/>
      </c>
    </row>
    <row r="590" spans="10:11" x14ac:dyDescent="0.25">
      <c r="J590" t="s">
        <v>742</v>
      </c>
      <c r="K590" t="str">
        <f t="shared" si="68"/>
        <v/>
      </c>
    </row>
    <row r="591" spans="10:11" x14ac:dyDescent="0.25">
      <c r="J591" t="s">
        <v>743</v>
      </c>
      <c r="K591" t="str">
        <f t="shared" si="68"/>
        <v/>
      </c>
    </row>
    <row r="592" spans="10:11" x14ac:dyDescent="0.25">
      <c r="J592" t="s">
        <v>744</v>
      </c>
      <c r="K592" t="str">
        <f t="shared" si="68"/>
        <v/>
      </c>
    </row>
    <row r="593" spans="10:11" x14ac:dyDescent="0.25">
      <c r="J593" t="s">
        <v>745</v>
      </c>
      <c r="K593" t="str">
        <f t="shared" si="68"/>
        <v/>
      </c>
    </row>
    <row r="594" spans="10:11" x14ac:dyDescent="0.25">
      <c r="J594" t="s">
        <v>746</v>
      </c>
      <c r="K594" t="str">
        <f t="shared" si="68"/>
        <v/>
      </c>
    </row>
    <row r="595" spans="10:11" x14ac:dyDescent="0.25">
      <c r="J595" t="s">
        <v>854</v>
      </c>
      <c r="K595" t="str">
        <f>REPLACE(IF(E2&gt;0,REPLACE(J595,54,8,E2),""),21,3,I2)</f>
        <v>&lt;em&gt;5.8.3.5. Mexico ABC Market Size and Forecast, by EE (2024-2032)&lt;/em&gt;</v>
      </c>
    </row>
    <row r="596" spans="10:11" x14ac:dyDescent="0.25">
      <c r="J596" t="s">
        <v>747</v>
      </c>
      <c r="K596" t="str">
        <f t="shared" ref="K596:K604" si="69">IF(E4&gt;0,REPLACE(J596,16,3,E4),"")</f>
        <v/>
      </c>
    </row>
    <row r="597" spans="10:11" x14ac:dyDescent="0.25">
      <c r="J597" t="s">
        <v>748</v>
      </c>
      <c r="K597" t="str">
        <f t="shared" si="69"/>
        <v/>
      </c>
    </row>
    <row r="598" spans="10:11" x14ac:dyDescent="0.25">
      <c r="J598" t="s">
        <v>749</v>
      </c>
      <c r="K598" t="str">
        <f t="shared" si="69"/>
        <v/>
      </c>
    </row>
    <row r="599" spans="10:11" x14ac:dyDescent="0.25">
      <c r="J599" t="s">
        <v>750</v>
      </c>
      <c r="K599" t="str">
        <f t="shared" si="69"/>
        <v/>
      </c>
    </row>
    <row r="600" spans="10:11" x14ac:dyDescent="0.25">
      <c r="J600" t="s">
        <v>751</v>
      </c>
      <c r="K600" t="str">
        <f t="shared" si="69"/>
        <v/>
      </c>
    </row>
    <row r="601" spans="10:11" x14ac:dyDescent="0.25">
      <c r="J601" t="s">
        <v>752</v>
      </c>
      <c r="K601" t="str">
        <f t="shared" si="69"/>
        <v/>
      </c>
    </row>
    <row r="602" spans="10:11" x14ac:dyDescent="0.25">
      <c r="J602" t="s">
        <v>753</v>
      </c>
      <c r="K602" t="str">
        <f t="shared" si="69"/>
        <v/>
      </c>
    </row>
    <row r="603" spans="10:11" x14ac:dyDescent="0.25">
      <c r="J603" t="s">
        <v>754</v>
      </c>
      <c r="K603" t="str">
        <f t="shared" si="69"/>
        <v/>
      </c>
    </row>
    <row r="604" spans="10:11" x14ac:dyDescent="0.25">
      <c r="J604" t="s">
        <v>755</v>
      </c>
      <c r="K604" t="str">
        <f t="shared" si="69"/>
        <v/>
      </c>
    </row>
    <row r="605" spans="10:11" x14ac:dyDescent="0.25">
      <c r="J605" t="s">
        <v>756</v>
      </c>
      <c r="K605" t="str">
        <f t="shared" ref="K605:K610" si="70">IF(E13&gt;0,REPLACE(J605,17,4,E13),"")</f>
        <v/>
      </c>
    </row>
    <row r="606" spans="10:11" x14ac:dyDescent="0.25">
      <c r="J606" t="s">
        <v>757</v>
      </c>
      <c r="K606" t="str">
        <f t="shared" si="70"/>
        <v/>
      </c>
    </row>
    <row r="607" spans="10:11" x14ac:dyDescent="0.25">
      <c r="J607" t="s">
        <v>758</v>
      </c>
      <c r="K607" t="str">
        <f t="shared" si="70"/>
        <v/>
      </c>
    </row>
    <row r="608" spans="10:11" x14ac:dyDescent="0.25">
      <c r="J608" t="s">
        <v>759</v>
      </c>
      <c r="K608" t="str">
        <f t="shared" si="70"/>
        <v/>
      </c>
    </row>
    <row r="609" spans="10:11" x14ac:dyDescent="0.25">
      <c r="J609" t="s">
        <v>760</v>
      </c>
      <c r="K609" t="str">
        <f t="shared" si="70"/>
        <v/>
      </c>
    </row>
    <row r="610" spans="10:11" x14ac:dyDescent="0.25">
      <c r="J610" t="s">
        <v>761</v>
      </c>
      <c r="K610" t="str">
        <f t="shared" si="70"/>
        <v/>
      </c>
    </row>
    <row r="611" spans="10:11" x14ac:dyDescent="0.25">
      <c r="J611" t="s">
        <v>855</v>
      </c>
      <c r="K611" t="str">
        <f>REPLACE(IF(F2&gt;0,REPLACE(J611,54,8,F2),""),21,3,I2)</f>
        <v>&lt;em&gt;5.8.3.6. Mexico ABC Market Size and Forecast, by FF (2024-2032)&lt;/em&gt;</v>
      </c>
    </row>
    <row r="612" spans="10:11" x14ac:dyDescent="0.25">
      <c r="J612" t="s">
        <v>762</v>
      </c>
      <c r="K612" t="str">
        <f t="shared" ref="K612:K620" si="71">IF(F4&gt;0,REPLACE(J612,16,3,F4),"")</f>
        <v/>
      </c>
    </row>
    <row r="613" spans="10:11" x14ac:dyDescent="0.25">
      <c r="J613" t="s">
        <v>763</v>
      </c>
      <c r="K613" t="str">
        <f t="shared" si="71"/>
        <v/>
      </c>
    </row>
    <row r="614" spans="10:11" x14ac:dyDescent="0.25">
      <c r="J614" t="s">
        <v>764</v>
      </c>
      <c r="K614" t="str">
        <f t="shared" si="71"/>
        <v/>
      </c>
    </row>
    <row r="615" spans="10:11" x14ac:dyDescent="0.25">
      <c r="J615" t="s">
        <v>765</v>
      </c>
      <c r="K615" t="str">
        <f t="shared" si="71"/>
        <v/>
      </c>
    </row>
    <row r="616" spans="10:11" x14ac:dyDescent="0.25">
      <c r="J616" t="s">
        <v>766</v>
      </c>
      <c r="K616" t="str">
        <f t="shared" si="71"/>
        <v/>
      </c>
    </row>
    <row r="617" spans="10:11" x14ac:dyDescent="0.25">
      <c r="J617" t="s">
        <v>767</v>
      </c>
      <c r="K617" t="str">
        <f t="shared" si="71"/>
        <v/>
      </c>
    </row>
    <row r="618" spans="10:11" x14ac:dyDescent="0.25">
      <c r="J618" t="s">
        <v>768</v>
      </c>
      <c r="K618" t="str">
        <f t="shared" si="71"/>
        <v/>
      </c>
    </row>
    <row r="619" spans="10:11" x14ac:dyDescent="0.25">
      <c r="J619" t="s">
        <v>769</v>
      </c>
      <c r="K619" t="str">
        <f t="shared" si="71"/>
        <v/>
      </c>
    </row>
    <row r="620" spans="10:11" x14ac:dyDescent="0.25">
      <c r="J620" t="s">
        <v>770</v>
      </c>
      <c r="K620" t="str">
        <f t="shared" si="71"/>
        <v/>
      </c>
    </row>
    <row r="621" spans="10:11" x14ac:dyDescent="0.25">
      <c r="J621" t="s">
        <v>771</v>
      </c>
      <c r="K621" t="str">
        <f t="shared" ref="K621:K626" si="72">IF(F13&gt;0,REPLACE(J621,17,4,F13),"")</f>
        <v/>
      </c>
    </row>
    <row r="622" spans="10:11" x14ac:dyDescent="0.25">
      <c r="J622" t="s">
        <v>772</v>
      </c>
      <c r="K622" t="str">
        <f t="shared" si="72"/>
        <v/>
      </c>
    </row>
    <row r="623" spans="10:11" x14ac:dyDescent="0.25">
      <c r="J623" t="s">
        <v>773</v>
      </c>
      <c r="K623" t="str">
        <f t="shared" si="72"/>
        <v/>
      </c>
    </row>
    <row r="624" spans="10:11" x14ac:dyDescent="0.25">
      <c r="J624" t="s">
        <v>774</v>
      </c>
      <c r="K624" t="str">
        <f t="shared" si="72"/>
        <v/>
      </c>
    </row>
    <row r="625" spans="10:11" x14ac:dyDescent="0.25">
      <c r="J625" t="s">
        <v>775</v>
      </c>
      <c r="K625" t="str">
        <f t="shared" si="72"/>
        <v/>
      </c>
    </row>
    <row r="626" spans="10:11" x14ac:dyDescent="0.25">
      <c r="J626" t="s">
        <v>776</v>
      </c>
      <c r="K626" t="str">
        <f t="shared" si="72"/>
        <v/>
      </c>
    </row>
    <row r="627" spans="10:11" x14ac:dyDescent="0.25">
      <c r="J627" t="s">
        <v>856</v>
      </c>
      <c r="K627" t="str">
        <f>REPLACE(IF(G2&gt;0,REPLACE(J627,54,8,G2),""),21,3,I2)</f>
        <v>&lt;em&gt;5.8.3.7. Mexico ABC Market Size and Forecast, by GG (2024-2032)&lt;/em&gt;</v>
      </c>
    </row>
    <row r="628" spans="10:11" x14ac:dyDescent="0.25">
      <c r="J628" t="s">
        <v>777</v>
      </c>
      <c r="K628" t="str">
        <f t="shared" ref="K628:K636" si="73">IF(G4&gt;0,REPLACE(J628,16,3,G4),"")</f>
        <v/>
      </c>
    </row>
    <row r="629" spans="10:11" x14ac:dyDescent="0.25">
      <c r="J629" t="s">
        <v>778</v>
      </c>
      <c r="K629" t="str">
        <f t="shared" si="73"/>
        <v/>
      </c>
    </row>
    <row r="630" spans="10:11" x14ac:dyDescent="0.25">
      <c r="J630" t="s">
        <v>779</v>
      </c>
      <c r="K630" t="str">
        <f t="shared" si="73"/>
        <v/>
      </c>
    </row>
    <row r="631" spans="10:11" x14ac:dyDescent="0.25">
      <c r="J631" t="s">
        <v>780</v>
      </c>
      <c r="K631" t="str">
        <f t="shared" si="73"/>
        <v/>
      </c>
    </row>
    <row r="632" spans="10:11" x14ac:dyDescent="0.25">
      <c r="J632" t="s">
        <v>781</v>
      </c>
      <c r="K632" t="str">
        <f t="shared" si="73"/>
        <v/>
      </c>
    </row>
    <row r="633" spans="10:11" x14ac:dyDescent="0.25">
      <c r="J633" t="s">
        <v>782</v>
      </c>
      <c r="K633" t="str">
        <f t="shared" si="73"/>
        <v/>
      </c>
    </row>
    <row r="634" spans="10:11" x14ac:dyDescent="0.25">
      <c r="J634" t="s">
        <v>783</v>
      </c>
      <c r="K634" t="str">
        <f t="shared" si="73"/>
        <v/>
      </c>
    </row>
    <row r="635" spans="10:11" x14ac:dyDescent="0.25">
      <c r="J635" t="s">
        <v>784</v>
      </c>
      <c r="K635" t="str">
        <f t="shared" si="73"/>
        <v/>
      </c>
    </row>
    <row r="636" spans="10:11" x14ac:dyDescent="0.25">
      <c r="J636" t="s">
        <v>785</v>
      </c>
      <c r="K636" t="str">
        <f t="shared" si="73"/>
        <v/>
      </c>
    </row>
    <row r="637" spans="10:11" x14ac:dyDescent="0.25">
      <c r="J637" t="s">
        <v>786</v>
      </c>
      <c r="K637" t="str">
        <f t="shared" ref="K637:K642" si="74">IF(G13&gt;0,REPLACE(J637,17,4,G13),"")</f>
        <v/>
      </c>
    </row>
    <row r="638" spans="10:11" x14ac:dyDescent="0.25">
      <c r="J638" t="s">
        <v>787</v>
      </c>
      <c r="K638" t="str">
        <f t="shared" si="74"/>
        <v/>
      </c>
    </row>
    <row r="639" spans="10:11" x14ac:dyDescent="0.25">
      <c r="J639" t="s">
        <v>788</v>
      </c>
      <c r="K639" t="str">
        <f t="shared" si="74"/>
        <v/>
      </c>
    </row>
    <row r="640" spans="10:11" x14ac:dyDescent="0.25">
      <c r="J640" t="s">
        <v>789</v>
      </c>
      <c r="K640" t="str">
        <f t="shared" si="74"/>
        <v/>
      </c>
    </row>
    <row r="641" spans="10:11" x14ac:dyDescent="0.25">
      <c r="J641" t="s">
        <v>790</v>
      </c>
      <c r="K641" t="str">
        <f t="shared" si="74"/>
        <v/>
      </c>
    </row>
    <row r="642" spans="10:11" x14ac:dyDescent="0.25">
      <c r="J642" t="s">
        <v>791</v>
      </c>
      <c r="K642" t="str">
        <f t="shared" si="74"/>
        <v/>
      </c>
    </row>
    <row r="644" spans="10:11" x14ac:dyDescent="0.25">
      <c r="J644" t="s">
        <v>857</v>
      </c>
      <c r="K644" t="str">
        <f>REPLACE(J644,FIND("ABC",J644,1),3,$I$2)</f>
        <v>&lt;strong&gt;6. Europe ABC Market Size and Forecast by Segmentation (by Value in USD Million) 2024-2032&lt;/strong&gt;</v>
      </c>
    </row>
    <row r="645" spans="10:11" x14ac:dyDescent="0.25">
      <c r="J645" t="s">
        <v>858</v>
      </c>
      <c r="K645" t="str">
        <f>REPLACE((IF(A2&gt;0,REPLACE(J645,46,8,A2),"")),13,3,I2)</f>
        <v>6.1. Europe ABC Market Size and Forecast, by AA (2024-2032)</v>
      </c>
    </row>
    <row r="646" spans="10:11" x14ac:dyDescent="0.25">
      <c r="J646" t="s">
        <v>859</v>
      </c>
      <c r="K646" t="str">
        <f>REPLACE((IF(B2&gt;0,REPLACE(J646,46,8,B2),"")),13,3,I2)</f>
        <v>6.2. Europe ABC Market Size and Forecast, by BB (2024-2032)</v>
      </c>
    </row>
    <row r="647" spans="10:11" x14ac:dyDescent="0.25">
      <c r="J647" t="s">
        <v>860</v>
      </c>
      <c r="K647" t="str">
        <f>REPLACE((IF(C2&gt;0,REPLACE(J647,46,8,C2),"")),13,3,I2)</f>
        <v>6.3. Europe ABC Market Size and Forecast, by CC (2024-2032)</v>
      </c>
    </row>
    <row r="648" spans="10:11" x14ac:dyDescent="0.25">
      <c r="J648" t="s">
        <v>861</v>
      </c>
      <c r="K648" t="str">
        <f>REPLACE((IF(D2&gt;0,REPLACE(J648,46,8,D2),"")),13,3,I2)</f>
        <v>6.4. Europe ABC Market Size and Forecast, by DD (2024-2032)</v>
      </c>
    </row>
    <row r="649" spans="10:11" x14ac:dyDescent="0.25">
      <c r="J649" t="s">
        <v>862</v>
      </c>
      <c r="K649" t="str">
        <f>REPLACE((IF(E2&gt;0,REPLACE(J649,46,8,E2),"")),13,3,I2)</f>
        <v>6.5. Europe ABC Market Size and Forecast, by EE (2024-2032)</v>
      </c>
    </row>
    <row r="650" spans="10:11" x14ac:dyDescent="0.25">
      <c r="J650" t="s">
        <v>863</v>
      </c>
      <c r="K650" t="str">
        <f>REPLACE((IF(F2&gt;0,REPLACE(J650,46,8,F2),"")),13,3,I2)</f>
        <v>6.6. Europe ABC Market Size and Forecast, by FF (2024-2032)</v>
      </c>
    </row>
    <row r="651" spans="10:11" x14ac:dyDescent="0.25">
      <c r="J651" t="s">
        <v>864</v>
      </c>
      <c r="K651" t="str">
        <f>REPLACE((IF(G2&gt;0,REPLACE(J651,46,8,G2),"")),13,3,I2)</f>
        <v>6.7. Europe ABC Market Size and Forecast, by GG (2024-2032)</v>
      </c>
    </row>
    <row r="652" spans="10:11" x14ac:dyDescent="0.25">
      <c r="J652" t="s">
        <v>865</v>
      </c>
      <c r="K652" t="str">
        <f>REPLACE(J652,FIND("ABC",J652,1),3,$I$2)</f>
        <v>6.8. Europe ABC Market Size and Forecast, by Country (2024-2032)</v>
      </c>
    </row>
    <row r="653" spans="10:11" x14ac:dyDescent="0.25">
      <c r="J653" t="s">
        <v>792</v>
      </c>
      <c r="K653" t="str">
        <f>J653</f>
        <v>&lt;strong&gt;&lt;em&gt;6.8.1. United Kingdom&lt;/em&gt;&lt;/strong&gt;</v>
      </c>
    </row>
    <row r="654" spans="10:11" x14ac:dyDescent="0.25">
      <c r="J654" t="s">
        <v>866</v>
      </c>
      <c r="K654" t="str">
        <f>REPLACE(IF(A2&gt;0,REPLACE(J654,62,8,A2),""),FIND("ABC",J654,1),3,$I$2)</f>
        <v>&lt;em&gt;6.8.1.1. United Kingdom ABC Market Size and Forecast, by AA (2024-2032)&lt;/em&gt;</v>
      </c>
    </row>
    <row r="655" spans="10:11" x14ac:dyDescent="0.25">
      <c r="J655" t="s">
        <v>867</v>
      </c>
      <c r="K655" t="str">
        <f>REPLACE(IF(B2&gt;0,REPLACE(J655,62,8,B2),""),FIND("ABC",J655,1),3,$I$2)</f>
        <v>&lt;em&gt;6.8.1.2. United Kingdom ABC Market Size and Forecast, by BB (2024-2032)&lt;/em&gt;</v>
      </c>
    </row>
    <row r="656" spans="10:11" x14ac:dyDescent="0.25">
      <c r="J656" t="s">
        <v>868</v>
      </c>
      <c r="K656" t="str">
        <f>REPLACE(IF(C2&gt;0,REPLACE(J656,62,8,C2),""),FIND("ABC",J656,1),3,$I$2)</f>
        <v>&lt;em&gt;6.8.1.3. United Kingdom ABC Market Size and Forecast, by CC (2024-2032)&lt;/em&gt;</v>
      </c>
    </row>
    <row r="657" spans="10:11" x14ac:dyDescent="0.25">
      <c r="J657" t="s">
        <v>869</v>
      </c>
      <c r="K657" t="str">
        <f>REPLACE(IF(D2&gt;0,REPLACE(J657,62,8,D2),""),FIND("ABC",J657,1),3,$I$2)</f>
        <v>&lt;em&gt;6.8.1.4. United Kingdom ABC Market Size and Forecast, by DD (2024-2032)&lt;/em&gt;</v>
      </c>
    </row>
    <row r="658" spans="10:11" x14ac:dyDescent="0.25">
      <c r="J658" t="s">
        <v>870</v>
      </c>
      <c r="K658" t="str">
        <f>REPLACE(IF(E2&gt;0,REPLACE(J658,62,8,E2),""),FIND("ABC",J658,1),3,$I$2)</f>
        <v>&lt;em&gt;6.8.1.5. United Kingdom ABC Market Size and Forecast, by EE (2024-2032)&lt;/em&gt;</v>
      </c>
    </row>
    <row r="659" spans="10:11" x14ac:dyDescent="0.25">
      <c r="J659" t="s">
        <v>871</v>
      </c>
      <c r="K659" t="str">
        <f>REPLACE(IF(E2&gt;0,REPLACE(J659,62,8,F2),""),FIND("ABC",J659,1),3,$I$2)</f>
        <v>&lt;em&gt;6.8.1.6. United Kingdom ABC Market Size and Forecast, by FF (2024-2032)&lt;/em&gt;</v>
      </c>
    </row>
    <row r="660" spans="10:11" x14ac:dyDescent="0.25">
      <c r="J660" t="s">
        <v>872</v>
      </c>
      <c r="K660" t="str">
        <f>REPLACE(IF(G2&gt;0,REPLACE(J660,62,8,G2),""),FIND("ABC",J660,1),3,$I$2)</f>
        <v>&lt;em&gt;6.8.1.7. United Kingdom ABC Market Size and Forecast, by GG (2024-2032)&lt;/em&gt;</v>
      </c>
    </row>
    <row r="661" spans="10:11" x14ac:dyDescent="0.25">
      <c r="J661" t="s">
        <v>793</v>
      </c>
      <c r="K661" t="str">
        <f>J661</f>
        <v>&lt;strong&gt;&lt;em&gt;6.8.2. France&lt;/em&gt;&lt;/strong&gt;</v>
      </c>
    </row>
    <row r="662" spans="10:11" x14ac:dyDescent="0.25">
      <c r="J662" t="s">
        <v>873</v>
      </c>
      <c r="K662" t="str">
        <f>REPLACE(IF(A2&gt;0,REPLACE(J662,54,8,A2),""),FIND("ABC",J662,1),3,$I$2)</f>
        <v>&lt;em&gt;6.8.2.1. France ABC Market Size and Forecast, by AA (2024-2032)&lt;/em&gt;</v>
      </c>
    </row>
    <row r="663" spans="10:11" x14ac:dyDescent="0.25">
      <c r="J663" t="s">
        <v>874</v>
      </c>
      <c r="K663" t="str">
        <f>REPLACE(IF(B2&gt;0,REPLACE(J663,54,8,B2),""),FIND("ABC",J663,1),3,$I$2)</f>
        <v>&lt;em&gt;6.8.2.2. France ABC Market Size and Forecast, by BB (2024-2032)&lt;/em&gt;</v>
      </c>
    </row>
    <row r="664" spans="10:11" x14ac:dyDescent="0.25">
      <c r="J664" t="s">
        <v>875</v>
      </c>
      <c r="K664" t="str">
        <f>REPLACE(IF(C2&gt;0,REPLACE(J664,54,8,C2),""),FIND("ABC",J664,1),3,$I$2)</f>
        <v>&lt;em&gt;6.8.2.3. France ABC Market Size and Forecast, by CC (2024-2032)&lt;/em&gt;</v>
      </c>
    </row>
    <row r="665" spans="10:11" x14ac:dyDescent="0.25">
      <c r="J665" t="s">
        <v>876</v>
      </c>
      <c r="K665" t="str">
        <f>REPLACE(IF(D2&gt;0,REPLACE(J665,54,8,D2),""),FIND("ABC",J665,1),3,$I$2)</f>
        <v>&lt;em&gt;6.8.2.4. France ABC Market Size and Forecast, by DD (2024-2032)&lt;/em&gt;</v>
      </c>
    </row>
    <row r="666" spans="10:11" x14ac:dyDescent="0.25">
      <c r="J666" t="s">
        <v>877</v>
      </c>
      <c r="K666" t="str">
        <f>REPLACE(IF(E2&gt;0,REPLACE(J666,54,8,E2),""),FIND("ABC",J666,1),3,$I$2)</f>
        <v>&lt;em&gt;6.8.2.5. France ABC Market Size and Forecast, by EE (2024-2032)&lt;/em&gt;</v>
      </c>
    </row>
    <row r="667" spans="10:11" x14ac:dyDescent="0.25">
      <c r="J667" t="s">
        <v>878</v>
      </c>
      <c r="K667" t="str">
        <f>REPLACE(IF(F2&gt;0,REPLACE(J667,54,8,F2),""),FIND("ABC",J667,1),3,$I$2)</f>
        <v>&lt;em&gt;6.8.2.6. France ABC Market Size and Forecast, by FF (2024-2032)&lt;/em&gt;</v>
      </c>
    </row>
    <row r="668" spans="10:11" x14ac:dyDescent="0.25">
      <c r="J668" t="s">
        <v>879</v>
      </c>
      <c r="K668" t="str">
        <f>REPLACE(IF(G2&gt;0,REPLACE(J668,54,8,G2),""),FIND("ABC",J668,1),3,$I$2)</f>
        <v>&lt;em&gt;6.8.2.7. France ABC Market Size and Forecast, by GG (2024-2032)&lt;/em&gt;</v>
      </c>
    </row>
    <row r="669" spans="10:11" x14ac:dyDescent="0.25">
      <c r="J669" t="s">
        <v>794</v>
      </c>
      <c r="K669" t="str">
        <f>J669</f>
        <v>&lt;strong&gt;&lt;em&gt;6.8.3. Germany&lt;/em&gt;&lt;/strong&gt;</v>
      </c>
    </row>
    <row r="670" spans="10:11" x14ac:dyDescent="0.25">
      <c r="J670" t="s">
        <v>880</v>
      </c>
      <c r="K670" t="str">
        <f>REPLACE(IF(A2&gt;0,REPLACE(J670,55,8,A2),""),FIND("ABC",J670,1),3,$I$2)</f>
        <v>&lt;em&gt;6.8.3.1. Germany ABC Market Size and Forecast, by AA (2024-2032)&lt;/em&gt;</v>
      </c>
    </row>
    <row r="671" spans="10:11" x14ac:dyDescent="0.25">
      <c r="J671" t="s">
        <v>881</v>
      </c>
      <c r="K671" t="str">
        <f>REPLACE(IF(B2&gt;0,REPLACE(J671,55,8,B2),""),FIND("ABC",J671,1),3,$I$2)</f>
        <v>&lt;em&gt;6.8.3.2. Germany ABC Market Size and Forecast, by BB (2024-2032)&lt;/em&gt;</v>
      </c>
    </row>
    <row r="672" spans="10:11" x14ac:dyDescent="0.25">
      <c r="J672" t="s">
        <v>882</v>
      </c>
      <c r="K672" t="str">
        <f>REPLACE(IF(C2&gt;0,REPLACE(J672,55,8,C2),""),FIND("ABC",J672,1),3,$I$2)</f>
        <v>&lt;em&gt;6.8.3.3. Germany ABC Market Size and Forecast, by CC (2024-2032)&lt;/em&gt;</v>
      </c>
    </row>
    <row r="673" spans="10:11" x14ac:dyDescent="0.25">
      <c r="J673" t="s">
        <v>883</v>
      </c>
      <c r="K673" t="str">
        <f>REPLACE(IF(D2&gt;0,REPLACE(J673,55,8,D2),""),FIND("ABC",J673,1),3,$I$2)</f>
        <v>&lt;em&gt;6.8.3.4. Germany ABC Market Size and Forecast, by DD (2024-2032)&lt;/em&gt;</v>
      </c>
    </row>
    <row r="674" spans="10:11" x14ac:dyDescent="0.25">
      <c r="J674" t="s">
        <v>884</v>
      </c>
      <c r="K674" t="str">
        <f>REPLACE(IF(E2&gt;0,REPLACE(J674,55,8,E2),""),FIND("ABC",J674,1),3,$I$2)</f>
        <v>&lt;em&gt;6.8.3.5. Germany ABC Market Size and Forecast, by EE (2024-2032)&lt;/em&gt;</v>
      </c>
    </row>
    <row r="675" spans="10:11" x14ac:dyDescent="0.25">
      <c r="J675" t="s">
        <v>885</v>
      </c>
      <c r="K675" t="str">
        <f>REPLACE(IF(F2&gt;0,REPLACE(J675,55,8,F2),""),FIND("ABC",J675,1),3,$I$2)</f>
        <v>&lt;em&gt;6.8.3.6. Germany ABC Market Size and Forecast, by FF (2024-2032)&lt;/em&gt;</v>
      </c>
    </row>
    <row r="676" spans="10:11" x14ac:dyDescent="0.25">
      <c r="J676" t="s">
        <v>886</v>
      </c>
      <c r="K676" t="str">
        <f>REPLACE(IF(G2&gt;0,REPLACE(J676,55,8,G2),""),FIND("ABC",J676,1),3,$I$2)</f>
        <v>&lt;em&gt;6.8.3.7. Germany ABC Market Size and Forecast, by GG (2024-2032)&lt;/em&gt;</v>
      </c>
    </row>
    <row r="677" spans="10:11" x14ac:dyDescent="0.25">
      <c r="J677" t="s">
        <v>795</v>
      </c>
      <c r="K677" t="str">
        <f>J677</f>
        <v>&lt;strong&gt;&lt;em&gt;6.8.4. Italy&lt;/em&gt;&lt;/strong&gt;</v>
      </c>
    </row>
    <row r="678" spans="10:11" x14ac:dyDescent="0.25">
      <c r="J678" t="s">
        <v>887</v>
      </c>
      <c r="K678" t="str">
        <f>REPLACE(IF(A2&gt;0,REPLACE(J678,53,8,A2),""),FIND("ABC",J678,1),3,$I$2)</f>
        <v>&lt;em&gt;6.8.4.1. Italy ABC Market Size and Forecast, by AA (2024-2032)&lt;/em&gt;</v>
      </c>
    </row>
    <row r="679" spans="10:11" x14ac:dyDescent="0.25">
      <c r="J679" t="s">
        <v>888</v>
      </c>
      <c r="K679" t="str">
        <f>REPLACE(IF(B2&gt;0,REPLACE(J679,53,8,B2),""),FIND("ABC",J679,1),3,$I$2)</f>
        <v>&lt;em&gt;6.8.4.2. Italy ABC Market Size and Forecast, by BB (2024-2032)&lt;/em&gt;</v>
      </c>
    </row>
    <row r="680" spans="10:11" x14ac:dyDescent="0.25">
      <c r="J680" t="s">
        <v>889</v>
      </c>
      <c r="K680" t="str">
        <f>REPLACE(IF(C2&gt;0,REPLACE(J680,53,8,C2),""),FIND("ABC",J680,1),3,$I$2)</f>
        <v>&lt;em&gt;6.8.4.3. Italy ABC Market Size and Forecast, by CC (2024-2032)&lt;/em&gt;</v>
      </c>
    </row>
    <row r="681" spans="10:11" x14ac:dyDescent="0.25">
      <c r="J681" t="s">
        <v>890</v>
      </c>
      <c r="K681" t="str">
        <f>REPLACE(IF(D2&gt;0,REPLACE(J681,53,8,D2),""),FIND("ABC",J681,1),3,$I$2)</f>
        <v>&lt;em&gt;6.8.4.4. Italy ABC Market Size and Forecast, by DD (2024-2032)&lt;/em&gt;</v>
      </c>
    </row>
    <row r="682" spans="10:11" x14ac:dyDescent="0.25">
      <c r="J682" t="s">
        <v>891</v>
      </c>
      <c r="K682" t="str">
        <f>REPLACE(IF(E2&gt;0,REPLACE(J682,53,8,E2),""),FIND("ABC",J682,1),3,$I$2)</f>
        <v>&lt;em&gt;6.8.4.5. Italy ABC Market Size and Forecast, by EE (2024-2032)&lt;/em&gt;</v>
      </c>
    </row>
    <row r="683" spans="10:11" x14ac:dyDescent="0.25">
      <c r="J683" t="s">
        <v>892</v>
      </c>
      <c r="K683" t="str">
        <f>REPLACE(IF(F2&gt;0,REPLACE(J683,53,8,F2),""),FIND("ABC",J683,1),3,$I$2)</f>
        <v>&lt;em&gt;6.8.4.6. Italy ABC Market Size and Forecast, by FF (2024-2032)&lt;/em&gt;</v>
      </c>
    </row>
    <row r="684" spans="10:11" x14ac:dyDescent="0.25">
      <c r="J684" t="s">
        <v>893</v>
      </c>
      <c r="K684" t="str">
        <f>REPLACE(IF(G2&gt;0,REPLACE(J684,53,8,G2),""),FIND("ABC",J684,1),3,$I$2)</f>
        <v>&lt;em&gt;6.8.4.7. Italy ABC Market Size and Forecast, by GG (2024-2032)&lt;/em&gt;</v>
      </c>
    </row>
    <row r="685" spans="10:11" x14ac:dyDescent="0.25">
      <c r="J685" t="s">
        <v>796</v>
      </c>
      <c r="K685" t="str">
        <f>J685</f>
        <v>&lt;strong&gt;&lt;em&gt;6.8.5. Spain&lt;/em&gt;&lt;/strong&gt;</v>
      </c>
    </row>
    <row r="686" spans="10:11" x14ac:dyDescent="0.25">
      <c r="J686" t="s">
        <v>894</v>
      </c>
      <c r="K686" t="str">
        <f>REPLACE(IF(A2&gt;0,REPLACE(J686,53,8,A2),""),FIND("ABC",J686,1),3,$I$2)</f>
        <v>&lt;em&gt;6.8.5.1. Spain ABC Market Size and Forecast, by AA (2024-2032)&lt;/em&gt;</v>
      </c>
    </row>
    <row r="687" spans="10:11" x14ac:dyDescent="0.25">
      <c r="J687" t="s">
        <v>895</v>
      </c>
      <c r="K687" t="str">
        <f>REPLACE(IF(B2&gt;0,REPLACE(J687,53,8,B2),""),FIND("ABC",J687,1),3,$I$2)</f>
        <v>&lt;em&gt;6.8.5.2. Spain ABC Market Size and Forecast, by BB (2024-2032)&lt;/em&gt;</v>
      </c>
    </row>
    <row r="688" spans="10:11" x14ac:dyDescent="0.25">
      <c r="J688" t="s">
        <v>896</v>
      </c>
      <c r="K688" t="str">
        <f>REPLACE(IF(C2&gt;0,REPLACE(J688,53,8,C2),""),FIND("ABC",J688,1),3,$I$2)</f>
        <v>&lt;em&gt;6.8.5.3. Spain ABC Market Size and Forecast, by CC (2024-2032)&lt;/em&gt;</v>
      </c>
    </row>
    <row r="689" spans="10:11" x14ac:dyDescent="0.25">
      <c r="J689" t="s">
        <v>897</v>
      </c>
      <c r="K689" t="str">
        <f>REPLACE(IF(D2&gt;0,REPLACE(J689,53,8,D2),""),FIND("ABC",J689,1),3,$I$2)</f>
        <v>&lt;em&gt;6.8.5.4. Spain ABC Market Size and Forecast, by DD (2024-2032)&lt;/em&gt;</v>
      </c>
    </row>
    <row r="690" spans="10:11" x14ac:dyDescent="0.25">
      <c r="J690" t="s">
        <v>898</v>
      </c>
      <c r="K690" t="str">
        <f>REPLACE(IF(E2&gt;0,REPLACE(J690,53,8,E2),""),FIND("ABC",J690,1),3,$I$2)</f>
        <v>&lt;em&gt;6.8.5.5. Spain ABC Market Size and Forecast, by EE (2024-2032)&lt;/em&gt;</v>
      </c>
    </row>
    <row r="691" spans="10:11" x14ac:dyDescent="0.25">
      <c r="J691" t="s">
        <v>899</v>
      </c>
      <c r="K691" t="str">
        <f>REPLACE(IF(F2&gt;0,REPLACE(J691,53,8,F2),""),FIND("ABC",J691,1),3,$I$2)</f>
        <v>&lt;em&gt;6.8.5.6. Spain ABC Market Size and Forecast, by FF (2024-2032)&lt;/em&gt;</v>
      </c>
    </row>
    <row r="692" spans="10:11" x14ac:dyDescent="0.25">
      <c r="J692" t="s">
        <v>900</v>
      </c>
      <c r="K692" t="str">
        <f>REPLACE(IF(G2&gt;0,REPLACE(J692,53,8,G2),""),FIND("ABC",J692,1),3,$I$2)</f>
        <v>&lt;em&gt;6.8.5.7. Spain ABC Market Size and Forecast, by GG (2024-2032)&lt;/em&gt;</v>
      </c>
    </row>
    <row r="693" spans="10:11" x14ac:dyDescent="0.25">
      <c r="J693" t="s">
        <v>797</v>
      </c>
      <c r="K693" t="str">
        <f>J693</f>
        <v>&lt;strong&gt;&lt;em&gt;6.8.6. Sweden&lt;/em&gt;&lt;/strong&gt;</v>
      </c>
    </row>
    <row r="694" spans="10:11" x14ac:dyDescent="0.25">
      <c r="J694" t="s">
        <v>901</v>
      </c>
      <c r="K694" t="str">
        <f>REPLACE(IF(A2&gt;0,REPLACE(J694,54,8,A2),""),FIND("ABC",J694,1),3,$I$2)</f>
        <v>&lt;em&gt;6.8.6.1. Sweden ABC Market Size and Forecast, by AA (2024-2032)&lt;/em&gt;</v>
      </c>
    </row>
    <row r="695" spans="10:11" x14ac:dyDescent="0.25">
      <c r="J695" t="s">
        <v>902</v>
      </c>
      <c r="K695" t="str">
        <f>REPLACE(IF(B2&gt;0,REPLACE(J695,54,8,B2),""),FIND("ABC",J695,1),3,$I$2)</f>
        <v>&lt;em&gt;6.8.6.2. Sweden ABC Market Size and Forecast, by BB (2024-2032)&lt;/em&gt;</v>
      </c>
    </row>
    <row r="696" spans="10:11" x14ac:dyDescent="0.25">
      <c r="J696" t="s">
        <v>903</v>
      </c>
      <c r="K696" t="str">
        <f>REPLACE(IF(C2&gt;0,REPLACE(J696,54,8,C2),""),FIND("ABC",J696,1),3,$I$2)</f>
        <v>&lt;em&gt;6.8.6.3. Sweden ABC Market Size and Forecast, by CC (2024-2032)&lt;/em&gt;</v>
      </c>
    </row>
    <row r="697" spans="10:11" x14ac:dyDescent="0.25">
      <c r="J697" t="s">
        <v>904</v>
      </c>
      <c r="K697" t="str">
        <f>REPLACE(IF(D2&gt;0,REPLACE(J697,54,8,D2),""),FIND("ABC",J697,1),3,$I$2)</f>
        <v>&lt;em&gt;6.8.6.4. Sweden ABC Market Size and Forecast, by DD (2024-2032)&lt;/em&gt;</v>
      </c>
    </row>
    <row r="698" spans="10:11" x14ac:dyDescent="0.25">
      <c r="J698" t="s">
        <v>905</v>
      </c>
      <c r="K698" t="str">
        <f>REPLACE(IF(E2&gt;0,REPLACE(J698,54,8,E2),""),FIND("ABC",J698,1),3,$I$2)</f>
        <v>&lt;em&gt;6.8.6.5. Sweden ABC Market Size and Forecast, by EE (2024-2032)&lt;/em&gt;</v>
      </c>
    </row>
    <row r="699" spans="10:11" x14ac:dyDescent="0.25">
      <c r="J699" t="s">
        <v>906</v>
      </c>
      <c r="K699" t="str">
        <f>REPLACE(IF(F2&gt;0,REPLACE(J699,54,8,F2),""),FIND("ABC",J699,1),3,$I$2)</f>
        <v>&lt;em&gt;6.8.6.6. Sweden ABC Market Size and Forecast, by FF (2024-2032)&lt;/em&gt;</v>
      </c>
    </row>
    <row r="700" spans="10:11" x14ac:dyDescent="0.25">
      <c r="J700" t="s">
        <v>907</v>
      </c>
      <c r="K700" t="str">
        <f>REPLACE(IF(G2&gt;0,REPLACE(J700,54,8,G2),""),FIND("ABC",J700,1),3,$I$2)</f>
        <v>&lt;em&gt;6.8.6.7. Sweden ABC Market Size and Forecast, by GG (2024-2032)&lt;/em&gt;</v>
      </c>
    </row>
    <row r="701" spans="10:11" x14ac:dyDescent="0.25">
      <c r="J701" t="s">
        <v>798</v>
      </c>
      <c r="K701" t="str">
        <f>J701</f>
        <v>&lt;strong&gt;&lt;em&gt;6.8.7. Austria&lt;/em&gt;&lt;/strong&gt;</v>
      </c>
    </row>
    <row r="702" spans="10:11" x14ac:dyDescent="0.25">
      <c r="J702" t="s">
        <v>908</v>
      </c>
      <c r="K702" t="str">
        <f>REPLACE(IF(A2&gt;0,REPLACE(J702,55,8,A2),""),FIND("ABC",J702,1),3,$I$2)</f>
        <v>&lt;em&gt;6.8.7.1. Austria ABC Market Size and Forecast, by AA (2024-2032)&lt;/em&gt;</v>
      </c>
    </row>
    <row r="703" spans="10:11" x14ac:dyDescent="0.25">
      <c r="J703" t="s">
        <v>909</v>
      </c>
      <c r="K703" t="str">
        <f>REPLACE(IF(B2&gt;0,REPLACE(J703,55,8,B2),""),FIND("ABC",J703,1),3,$I$2)</f>
        <v>&lt;em&gt;6.8.7.2. Austria ABC Market Size and Forecast, by BB (2024-2032)&lt;/em&gt;</v>
      </c>
    </row>
    <row r="704" spans="10:11" x14ac:dyDescent="0.25">
      <c r="J704" t="s">
        <v>910</v>
      </c>
      <c r="K704" t="str">
        <f>REPLACE(IF(C2&gt;0,REPLACE(J704,55,8,C2),""),FIND("ABC",J704,1),3,$I$2)</f>
        <v>&lt;em&gt;6.8.7.3. Austria ABC Market Size and Forecast, by CC (2024-2032)&lt;/em&gt;</v>
      </c>
    </row>
    <row r="705" spans="10:11" x14ac:dyDescent="0.25">
      <c r="J705" t="s">
        <v>911</v>
      </c>
      <c r="K705" t="str">
        <f>REPLACE(IF(D2&gt;0,REPLACE(J705,55,8,D2),""),FIND("ABC",J705,1),3,$I$2)</f>
        <v>&lt;em&gt;6.8.7.4. Austria ABC Market Size and Forecast, by DD (2024-2032)&lt;/em&gt;</v>
      </c>
    </row>
    <row r="706" spans="10:11" x14ac:dyDescent="0.25">
      <c r="J706" t="s">
        <v>912</v>
      </c>
      <c r="K706" t="str">
        <f>REPLACE(IF(E2&gt;0,REPLACE(J706,55,8,E2),""),FIND("ABC",J706,1),3,$I$2)</f>
        <v>&lt;em&gt;6.8.7.5. Austria ABC Market Size and Forecast, by EE (2024-2032)&lt;/em&gt;</v>
      </c>
    </row>
    <row r="707" spans="10:11" x14ac:dyDescent="0.25">
      <c r="J707" t="s">
        <v>913</v>
      </c>
      <c r="K707" t="str">
        <f>REPLACE(IF(F2&gt;0,REPLACE(J707,55,8,F2),""),FIND("ABC",J707,1),3,$I$2)</f>
        <v>&lt;em&gt;6.8.7.6. Austria ABC Market Size and Forecast, by FF (2024-2032)&lt;/em&gt;</v>
      </c>
    </row>
    <row r="708" spans="10:11" x14ac:dyDescent="0.25">
      <c r="J708" t="s">
        <v>914</v>
      </c>
      <c r="K708" t="str">
        <f>REPLACE(IF(G2&gt;0,REPLACE(J708,55,8,G2),""),FIND("ABC",J708,1),3,$I$2)</f>
        <v>&lt;em&gt;6.8.7.7. Austria ABC Market Size and Forecast, by GG (2024-2032)&lt;/em&gt;</v>
      </c>
    </row>
    <row r="709" spans="10:11" x14ac:dyDescent="0.25">
      <c r="J709" t="s">
        <v>799</v>
      </c>
      <c r="K709" t="str">
        <f>J709</f>
        <v>&lt;strong&gt;&lt;em&gt;6.8.8. Rest of Europe&lt;/em&gt;&lt;/strong&gt;</v>
      </c>
    </row>
    <row r="710" spans="10:11" x14ac:dyDescent="0.25">
      <c r="J710" t="s">
        <v>915</v>
      </c>
      <c r="K710" t="str">
        <f>REPLACE(IF(A2&gt;0,REPLACE(J710,62,8,A2),""),FIND("ABC",J710,1),3,$I$2)</f>
        <v>&lt;em&gt;6.8.8.1. Rest of Europe ABC Market Size and Forecast, by AA (2024-2032)&lt;/em&gt;</v>
      </c>
    </row>
    <row r="711" spans="10:11" x14ac:dyDescent="0.25">
      <c r="J711" t="s">
        <v>916</v>
      </c>
      <c r="K711" t="str">
        <f>REPLACE(IF(B2&gt;0,REPLACE(J711,62,8,B2),""),FIND("ABC",J711,1),3,$I$2)</f>
        <v>&lt;em&gt;6.8.8.2. Rest of Europe ABC Market Size and Forecast, by BB (2024-2032)&lt;/em&gt;</v>
      </c>
    </row>
    <row r="712" spans="10:11" x14ac:dyDescent="0.25">
      <c r="J712" t="s">
        <v>917</v>
      </c>
      <c r="K712" t="str">
        <f>REPLACE(IF(C2&gt;0,REPLACE(J712,62,8,C2),""),FIND("ABC",J712,1),3,$I$2)</f>
        <v>&lt;em&gt;6.8.8.3. Rest of Europe ABC Market Size and Forecast, by CC (2024-2032)&lt;/em&gt;</v>
      </c>
    </row>
    <row r="713" spans="10:11" x14ac:dyDescent="0.25">
      <c r="J713" t="s">
        <v>918</v>
      </c>
      <c r="K713" t="str">
        <f>REPLACE(IF(D2&gt;0,REPLACE(J713,62,8,D2),""),FIND("ABC",J713,1),3,$I$2)</f>
        <v>&lt;em&gt;6.8.8.4. Rest of Europe ABC Market Size and Forecast, by DD (2024-2032)&lt;/em&gt;</v>
      </c>
    </row>
    <row r="714" spans="10:11" x14ac:dyDescent="0.25">
      <c r="J714" t="s">
        <v>919</v>
      </c>
      <c r="K714" t="str">
        <f>REPLACE(IF(E2&gt;0,REPLACE(J714,62,8,E2),""),FIND("ABC",J714,1),3,$I$2)</f>
        <v>&lt;em&gt;6.8.8.5. Rest of Europe ABC Market Size and Forecast, by EE (2024-2032)&lt;/em&gt;</v>
      </c>
    </row>
    <row r="715" spans="10:11" x14ac:dyDescent="0.25">
      <c r="J715" t="s">
        <v>920</v>
      </c>
      <c r="K715" t="str">
        <f>REPLACE(IF(F2&gt;0,REPLACE(J715,62,8,F2),""),FIND("ABC",J715,1),3,$I$2)</f>
        <v>&lt;em&gt;6.8.8.6. Rest of Europe ABC Market Size and Forecast, by FF (2024-2032)&lt;/em&gt;</v>
      </c>
    </row>
    <row r="716" spans="10:11" x14ac:dyDescent="0.25">
      <c r="J716" t="s">
        <v>921</v>
      </c>
      <c r="K716" t="str">
        <f>REPLACE(IF(G2&gt;0,REPLACE(J716,62,8,G2),""),FIND("ABC",J716,1),3,$I$2)</f>
        <v>&lt;em&gt;6.8.8.7. Rest of Europe ABC Market Size and Forecast, by GG (2024-2032)&lt;/em&gt;</v>
      </c>
    </row>
    <row r="718" spans="10:11" x14ac:dyDescent="0.25">
      <c r="J718" t="s">
        <v>922</v>
      </c>
      <c r="K718" t="str">
        <f>REPLACE(J718,FIND("ABC",J718,1),3,$I$2)</f>
        <v>&lt;strong&gt;7. Asia Pacific ABC Market Size and Forecast by Segmentation (by Value in USD Million) 2024-2032&lt;/strong&gt;</v>
      </c>
    </row>
    <row r="719" spans="10:11" x14ac:dyDescent="0.25">
      <c r="J719" t="s">
        <v>923</v>
      </c>
      <c r="K719" t="str">
        <f>REPLACE(IF(A2&gt;0,REPLACE(J719,52,8,A2),""),FIND("ABC",J719,1),3,$I$2)</f>
        <v>7.1. Asia Pacific ABC Market Size and Forecast, by AA (2024-2032)</v>
      </c>
    </row>
    <row r="720" spans="10:11" x14ac:dyDescent="0.25">
      <c r="J720" t="s">
        <v>924</v>
      </c>
      <c r="K720" t="str">
        <f>REPLACE(IF(B2&gt;0,REPLACE(J720,52,8,B2),""),FIND("ABC",J720,1),3,$I$2)</f>
        <v>7.2. Asia Pacific ABC Market Size and Forecast, by BB (2024-2032)</v>
      </c>
    </row>
    <row r="721" spans="10:11" x14ac:dyDescent="0.25">
      <c r="J721" t="s">
        <v>925</v>
      </c>
      <c r="K721" t="str">
        <f>REPLACE(IF(C2&gt;0,REPLACE(J721,52,8,C2),""),FIND("ABC",J721,1),3,$I$2)</f>
        <v>7.3. Asia Pacific ABC Market Size and Forecast, by CC (2024-2032)</v>
      </c>
    </row>
    <row r="722" spans="10:11" x14ac:dyDescent="0.25">
      <c r="J722" t="s">
        <v>926</v>
      </c>
      <c r="K722" t="str">
        <f>REPLACE(IF(D2&gt;0,REPLACE(J722,52,8,D2),""),FIND("ABC",J722,1),3,$I$2)</f>
        <v>7.4. Asia Pacific ABC Market Size and Forecast, by DD (2024-2032)</v>
      </c>
    </row>
    <row r="723" spans="10:11" x14ac:dyDescent="0.25">
      <c r="J723" t="s">
        <v>927</v>
      </c>
      <c r="K723" t="str">
        <f>REPLACE(IF(E2&gt;0,REPLACE(J723,52,8,E2),""),FIND("ABC",J723,1),3,$I$2)</f>
        <v>7.5. Asia Pacific ABC Market Size and Forecast, by EE (2024-2032)</v>
      </c>
    </row>
    <row r="724" spans="10:11" x14ac:dyDescent="0.25">
      <c r="J724" t="s">
        <v>928</v>
      </c>
      <c r="K724" t="str">
        <f>REPLACE(IF(F2&gt;0,REPLACE(J724,52,8,F2),""),FIND("ABC",J724,1),3,$I$2)</f>
        <v>7.6. Asia Pacific ABC Market Size and Forecast, by FF (2024-2032)</v>
      </c>
    </row>
    <row r="725" spans="10:11" x14ac:dyDescent="0.25">
      <c r="J725" t="s">
        <v>929</v>
      </c>
      <c r="K725" t="str">
        <f>REPLACE(IF(G2&gt;0,REPLACE(J725,52,8,G2),""),FIND("ABC",J725,1),3,$I$2)</f>
        <v>7.7. Asia Pacific ABC Market Size and Forecast, by GG (2024-2032)</v>
      </c>
    </row>
    <row r="726" spans="10:11" x14ac:dyDescent="0.25">
      <c r="J726" t="s">
        <v>930</v>
      </c>
      <c r="K726" t="str">
        <f>REPLACE(J726,FIND("ABC",J726,1),3,I2)</f>
        <v>7.8. Asia Pacific ABC Market Size and Forecast, by Country (2024-2032)</v>
      </c>
    </row>
    <row r="727" spans="10:11" x14ac:dyDescent="0.25">
      <c r="J727" t="s">
        <v>800</v>
      </c>
      <c r="K727" t="str">
        <f>J727</f>
        <v>&lt;strong&gt;&lt;em&gt;7.8.1. China&lt;/em&gt;&lt;/strong&gt;</v>
      </c>
    </row>
    <row r="728" spans="10:11" x14ac:dyDescent="0.25">
      <c r="J728" t="s">
        <v>931</v>
      </c>
      <c r="K728" t="str">
        <f>REPLACE(IF(A2&gt;0,REPLACE(J728,53,8,A2),""),FIND("ABC",J728,1),3,$I$2)</f>
        <v>&lt;em&gt;7.8.1.1. China ABC Market Size and Forecast, by AA (2024-2032)&lt;/em&gt;</v>
      </c>
    </row>
    <row r="729" spans="10:11" x14ac:dyDescent="0.25">
      <c r="J729" t="s">
        <v>932</v>
      </c>
      <c r="K729" t="str">
        <f>REPLACE(IF(B2&gt;0,REPLACE(J729,53,8,B2),""),FIND("ABC",J729,1),3,$I$2)</f>
        <v>&lt;em&gt;7.8.1.2. China ABC Market Size and Forecast, by BB (2024-2032)&lt;/em&gt;</v>
      </c>
    </row>
    <row r="730" spans="10:11" x14ac:dyDescent="0.25">
      <c r="J730" t="s">
        <v>933</v>
      </c>
      <c r="K730" t="str">
        <f>REPLACE(IF(C2&gt;0,REPLACE(J730,53,8,C2),""),FIND("ABC",J730,1),3,$I$2)</f>
        <v>&lt;em&gt;7.8.1.3. China ABC Market Size and Forecast, by CC (2024-2032)&lt;/em&gt;</v>
      </c>
    </row>
    <row r="731" spans="10:11" x14ac:dyDescent="0.25">
      <c r="J731" t="s">
        <v>934</v>
      </c>
      <c r="K731" t="str">
        <f>REPLACE(IF(D2&gt;0,REPLACE(J731,53,8,D2),""),FIND("ABC",J731,1),3,$I$2)</f>
        <v>&lt;em&gt;7.8.1.4. China ABC Market Size and Forecast, by DD (2024-2032)&lt;/em&gt;</v>
      </c>
    </row>
    <row r="732" spans="10:11" x14ac:dyDescent="0.25">
      <c r="J732" t="s">
        <v>935</v>
      </c>
      <c r="K732" t="str">
        <f>REPLACE(IF(E2&gt;0,REPLACE(J732,53,8,E2),""),FIND("ABC",J732,1),3,$I$2)</f>
        <v>&lt;em&gt;7.8.1.5. China ABC Market Size and Forecast, by EE (2024-2032)&lt;/em&gt;</v>
      </c>
    </row>
    <row r="733" spans="10:11" x14ac:dyDescent="0.25">
      <c r="J733" t="s">
        <v>936</v>
      </c>
      <c r="K733" t="str">
        <f>REPLACE(IF(F2&gt;0,REPLACE(J733,53,8,F2),""),FIND("ABC",J733,1),3,$I$2)</f>
        <v>&lt;em&gt;7.8.1.6. China ABC Market Size and Forecast, by FF (2024-2032)&lt;/em&gt;</v>
      </c>
    </row>
    <row r="734" spans="10:11" x14ac:dyDescent="0.25">
      <c r="J734" t="s">
        <v>937</v>
      </c>
      <c r="K734" t="str">
        <f>REPLACE(IF(G2&gt;0,REPLACE(J734,53,8,G2),""),FIND("ABC",J734,1),3,$I$2)</f>
        <v>&lt;em&gt;7.8.1.7. China ABC Market Size and Forecast, by GG (2024-2032)&lt;/em&gt;</v>
      </c>
    </row>
    <row r="735" spans="10:11" x14ac:dyDescent="0.25">
      <c r="J735" t="s">
        <v>801</v>
      </c>
      <c r="K735" t="str">
        <f>J735</f>
        <v>&lt;strong&gt;&lt;em&gt;7.8.2. S Korea&lt;/em&gt;&lt;/strong&gt;</v>
      </c>
    </row>
    <row r="736" spans="10:11" x14ac:dyDescent="0.25">
      <c r="J736" t="s">
        <v>938</v>
      </c>
      <c r="K736" t="str">
        <f>REPLACE(IF(A2&gt;0,REPLACE(J736,55,8,A2),""),FIND("ABC",J736,1),3,$I$2)</f>
        <v>&lt;em&gt;7.8.2.1. S Korea ABC Market Size and Forecast, by AA (2024-2032)&lt;/em&gt;</v>
      </c>
    </row>
    <row r="737" spans="10:11" x14ac:dyDescent="0.25">
      <c r="J737" t="s">
        <v>939</v>
      </c>
      <c r="K737" t="str">
        <f>REPLACE(IF(B2&gt;0,REPLACE(J737,55,8,B2),""),FIND("ABC",J737,1),3,$I$2)</f>
        <v>&lt;em&gt;7.8.2.2. S Korea ABC Market Size and Forecast, by BB (2024-2032)&lt;/em&gt;</v>
      </c>
    </row>
    <row r="738" spans="10:11" x14ac:dyDescent="0.25">
      <c r="J738" t="s">
        <v>940</v>
      </c>
      <c r="K738" t="str">
        <f>REPLACE(IF(C2&gt;0,REPLACE(J738,55,8,C2),""),FIND("ABC",J738,1),3,$I$2)</f>
        <v>&lt;em&gt;7.8.2.3. S Korea ABC Market Size and Forecast, by CC (2024-2032)&lt;/em&gt;</v>
      </c>
    </row>
    <row r="739" spans="10:11" x14ac:dyDescent="0.25">
      <c r="J739" t="s">
        <v>941</v>
      </c>
      <c r="K739" t="str">
        <f>REPLACE(IF(D2&gt;0,REPLACE(J739,55,8,D2),""),FIND("ABC",J739,1),3,$I$2)</f>
        <v>&lt;em&gt;7.8.2.4. S Korea ABC Market Size and Forecast, by DD (2024-2032)&lt;/em&gt;</v>
      </c>
    </row>
    <row r="740" spans="10:11" x14ac:dyDescent="0.25">
      <c r="J740" t="s">
        <v>942</v>
      </c>
      <c r="K740" t="str">
        <f>REPLACE(IF(E2&gt;0,REPLACE(J740,55,8,E2),""),FIND("ABC",J740,1),3,$I$2)</f>
        <v>&lt;em&gt;7.8.2.5. S Korea ABC Market Size and Forecast, by EE (2024-2032)&lt;/em&gt;</v>
      </c>
    </row>
    <row r="741" spans="10:11" x14ac:dyDescent="0.25">
      <c r="J741" t="s">
        <v>943</v>
      </c>
      <c r="K741" t="str">
        <f>REPLACE(IF(F2&gt;0,REPLACE(J741,55,8,F2),""),FIND("ABC",J741,1),3,$I$2)</f>
        <v>&lt;em&gt;7.8.2.6. S Korea ABC Market Size and Forecast, by FF (2024-2032)&lt;/em&gt;</v>
      </c>
    </row>
    <row r="742" spans="10:11" x14ac:dyDescent="0.25">
      <c r="J742" t="s">
        <v>944</v>
      </c>
      <c r="K742" t="str">
        <f>REPLACE(IF(G2&gt;0,REPLACE(J742,55,8,G2),""),FIND("ABC",J742,1),3,$I$2)</f>
        <v>&lt;em&gt;7.8.2.7. S Korea ABC Market Size and Forecast, by GG (2024-2032)&lt;/em&gt;</v>
      </c>
    </row>
    <row r="743" spans="10:11" x14ac:dyDescent="0.25">
      <c r="J743" t="s">
        <v>802</v>
      </c>
      <c r="K743" t="str">
        <f>J743</f>
        <v>&lt;strong&gt;&lt;em&gt;7.8.3. Japan&lt;/em&gt;&lt;/strong&gt;</v>
      </c>
    </row>
    <row r="744" spans="10:11" x14ac:dyDescent="0.25">
      <c r="J744" t="s">
        <v>945</v>
      </c>
      <c r="K744" t="str">
        <f>REPLACE(IF(A2&gt;0,REPLACE(J744,53,8,A2),""),FIND("ABC",J744,1),3,$I$2)</f>
        <v>&lt;em&gt;7.8.3.1. Japan ABC Market Size and Forecast, by AA (2024-2032)&lt;/em&gt;</v>
      </c>
    </row>
    <row r="745" spans="10:11" x14ac:dyDescent="0.25">
      <c r="J745" t="s">
        <v>946</v>
      </c>
      <c r="K745" t="str">
        <f>REPLACE(IF(B2&gt;0,REPLACE(J745,53,8,B2),""),FIND("ABC",J745,1),3,$I$2)</f>
        <v>&lt;em&gt;7.8.3.2. Japan ABC Market Size and Forecast, by BB (2024-2032)&lt;/em&gt;</v>
      </c>
    </row>
    <row r="746" spans="10:11" x14ac:dyDescent="0.25">
      <c r="J746" t="s">
        <v>947</v>
      </c>
      <c r="K746" t="str">
        <f>REPLACE(IF(C2&gt;0,REPLACE(J746,53,8,C2),""),FIND("ABC",J746,1),3,$I$2)</f>
        <v>&lt;em&gt;7.8.3.3. Japan ABC Market Size and Forecast, by CC (2024-2032)&lt;/em&gt;</v>
      </c>
    </row>
    <row r="747" spans="10:11" x14ac:dyDescent="0.25">
      <c r="J747" t="s">
        <v>948</v>
      </c>
      <c r="K747" t="str">
        <f>REPLACE(IF(D2&gt;0,REPLACE(J747,53,8,D2),""),FIND("ABC",J747,1),3,$I$2)</f>
        <v>&lt;em&gt;7.8.3.4. Japan ABC Market Size and Forecast, by DD (2024-2032)&lt;/em&gt;</v>
      </c>
    </row>
    <row r="748" spans="10:11" x14ac:dyDescent="0.25">
      <c r="J748" t="s">
        <v>949</v>
      </c>
      <c r="K748" t="str">
        <f>REPLACE(IF(E2&gt;0,REPLACE(J748,53,8,E2),""),FIND("ABC",J748,1),3,$I$2)</f>
        <v>&lt;em&gt;7.8.3.5. Japan ABC Market Size and Forecast, by EE (2024-2032)&lt;/em&gt;</v>
      </c>
    </row>
    <row r="749" spans="10:11" x14ac:dyDescent="0.25">
      <c r="J749" t="s">
        <v>950</v>
      </c>
      <c r="K749" t="str">
        <f>REPLACE(IF(F2&gt;0,REPLACE(J749,53,8,F2),""),FIND("ABC",J749,1),3,$I$2)</f>
        <v>&lt;em&gt;7.8.3.6. Japan ABC Market Size and Forecast, by FF (2024-2032)&lt;/em&gt;</v>
      </c>
    </row>
    <row r="750" spans="10:11" x14ac:dyDescent="0.25">
      <c r="J750" t="s">
        <v>951</v>
      </c>
      <c r="K750" t="str">
        <f>REPLACE(IF(G2&gt;0,REPLACE(J750,53,8,G2),""),FIND("ABC",J750,1),3,$I$2)</f>
        <v>&lt;em&gt;7.8.3.7. Japan ABC Market Size and Forecast, by GG (2024-2032)&lt;/em&gt;</v>
      </c>
    </row>
    <row r="751" spans="10:11" x14ac:dyDescent="0.25">
      <c r="J751" t="s">
        <v>803</v>
      </c>
      <c r="K751" t="str">
        <f>J751</f>
        <v>&lt;strong&gt;&lt;em&gt;7.8.4. India&lt;/em&gt;&lt;/strong&gt;</v>
      </c>
    </row>
    <row r="752" spans="10:11" x14ac:dyDescent="0.25">
      <c r="J752" t="s">
        <v>952</v>
      </c>
      <c r="K752" t="str">
        <f>REPLACE(IF(A2&gt;0,REPLACE(J752,53,8,A2),""),FIND("ABC",J752,1),3,$I$2)</f>
        <v>&lt;em&gt;7.8.4.1. India ABC Market Size and Forecast, by AA (2024-2032)&lt;/em&gt;</v>
      </c>
    </row>
    <row r="753" spans="10:11" x14ac:dyDescent="0.25">
      <c r="J753" t="s">
        <v>953</v>
      </c>
      <c r="K753" t="str">
        <f>REPLACE(IF(B2&gt;0,REPLACE(J753,53,8,B2),""),FIND("ABC",J753,1),3,$I$2)</f>
        <v>&lt;em&gt;7.8.4.2. India ABC Market Size and Forecast, by BB (2024-2032)&lt;/em&gt;</v>
      </c>
    </row>
    <row r="754" spans="10:11" x14ac:dyDescent="0.25">
      <c r="J754" t="s">
        <v>954</v>
      </c>
      <c r="K754" t="str">
        <f>REPLACE(IF(C2&gt;0,REPLACE(J754,53,8,C2),""),FIND("ABC",J754,1),3,$I$2)</f>
        <v>&lt;em&gt;7.8.4.3. India ABC Market Size and Forecast, by CC (2024-2032)&lt;/em&gt;</v>
      </c>
    </row>
    <row r="755" spans="10:11" x14ac:dyDescent="0.25">
      <c r="J755" t="s">
        <v>955</v>
      </c>
      <c r="K755" t="str">
        <f>REPLACE(IF(D2&gt;0,REPLACE(J755,53,8,D2),""),FIND("ABC",J755,1),3,$I$2)</f>
        <v>&lt;em&gt;7.8.4.4. India ABC Market Size and Forecast, by DD (2024-2032)&lt;/em&gt;</v>
      </c>
    </row>
    <row r="756" spans="10:11" x14ac:dyDescent="0.25">
      <c r="J756" t="s">
        <v>956</v>
      </c>
      <c r="K756" t="str">
        <f>REPLACE(IF(E2&gt;0,REPLACE(J756,53,8,E2),""),FIND("ABC",J756,1),3,$I$2)</f>
        <v>&lt;em&gt;7.8.4.5. India ABC Market Size and Forecast, by EE (2024-2032)&lt;/em&gt;</v>
      </c>
    </row>
    <row r="757" spans="10:11" x14ac:dyDescent="0.25">
      <c r="J757" t="s">
        <v>957</v>
      </c>
      <c r="K757" t="str">
        <f>REPLACE(IF(F2&gt;0,REPLACE(J757,53,8,F2),""),FIND("ABC",J757,1),3,$I$2)</f>
        <v>&lt;em&gt;7.8.4.6. India ABC Market Size and Forecast, by FF (2024-2032)&lt;/em&gt;</v>
      </c>
    </row>
    <row r="758" spans="10:11" x14ac:dyDescent="0.25">
      <c r="J758" t="s">
        <v>958</v>
      </c>
      <c r="K758" t="str">
        <f>REPLACE(IF(G2&gt;0,REPLACE(J758,53,8,G2),""),FIND("ABC",J758,1),3,$I$2)</f>
        <v>&lt;em&gt;7.8.4.7. India ABC Market Size and Forecast, by GG (2024-2032)&lt;/em&gt;</v>
      </c>
    </row>
    <row r="759" spans="10:11" x14ac:dyDescent="0.25">
      <c r="J759" t="s">
        <v>804</v>
      </c>
      <c r="K759" t="str">
        <f>J759</f>
        <v>&lt;strong&gt;&lt;em&gt;7.8.5. Australia&lt;/em&gt;&lt;/strong&gt;</v>
      </c>
    </row>
    <row r="760" spans="10:11" x14ac:dyDescent="0.25">
      <c r="J760" t="s">
        <v>959</v>
      </c>
      <c r="K760" t="str">
        <f>REPLACE(IF(A2&gt;0,REPLACE(J760,57,8,A2),""),FIND("ABC",J760,1),3,$I$2)</f>
        <v>&lt;em&gt;7.8.5.1. Australia ABC Market Size and Forecast, by AA (2024-2032)&lt;/em&gt;</v>
      </c>
    </row>
    <row r="761" spans="10:11" x14ac:dyDescent="0.25">
      <c r="J761" t="s">
        <v>960</v>
      </c>
      <c r="K761" t="str">
        <f>REPLACE(IF(B2&gt;0,REPLACE(J761,57,8,B2),""),FIND("ABC",J761,1),3,$I$2)</f>
        <v>&lt;em&gt;7.8.5.2. Australia ABC Market Size and Forecast, by BB (2024-2032)&lt;/em&gt;</v>
      </c>
    </row>
    <row r="762" spans="10:11" x14ac:dyDescent="0.25">
      <c r="J762" t="s">
        <v>961</v>
      </c>
      <c r="K762" t="str">
        <f>REPLACE(IF(C2&gt;0,REPLACE(J762,57,8,C2),""),FIND("ABC",J762,1),3,$I$2)</f>
        <v>&lt;em&gt;7.8.5.3. Australia ABC Market Size and Forecast, by CC (2024-2032)&lt;/em&gt;</v>
      </c>
    </row>
    <row r="763" spans="10:11" x14ac:dyDescent="0.25">
      <c r="J763" t="s">
        <v>962</v>
      </c>
      <c r="K763" t="str">
        <f>REPLACE(IF(D2&gt;0,REPLACE(J763,57,8,D2),""),FIND("ABC",J763,1),3,$I$2)</f>
        <v>&lt;em&gt;7.8.5.4. Australia ABC Market Size and Forecast, by DD (2024-2032)&lt;/em&gt;</v>
      </c>
    </row>
    <row r="764" spans="10:11" x14ac:dyDescent="0.25">
      <c r="J764" t="s">
        <v>963</v>
      </c>
      <c r="K764" t="str">
        <f>REPLACE(IF(E2&gt;0,REPLACE(J764,57,8,E2),""),FIND("ABC",J764,1),3,$I$2)</f>
        <v>&lt;em&gt;7.8.5.5. Australia ABC Market Size and Forecast, by EE (2024-2032)&lt;/em&gt;</v>
      </c>
    </row>
    <row r="765" spans="10:11" x14ac:dyDescent="0.25">
      <c r="J765" t="s">
        <v>964</v>
      </c>
      <c r="K765" t="str">
        <f>REPLACE(IF(F2&gt;0,REPLACE(J765,57,8,F2),""),FIND("ABC",J765,1),3,$I$2)</f>
        <v>&lt;em&gt;7.8.5.6. Australia ABC Market Size and Forecast, by FF (2024-2032)&lt;/em&gt;</v>
      </c>
    </row>
    <row r="766" spans="10:11" x14ac:dyDescent="0.25">
      <c r="J766" t="s">
        <v>965</v>
      </c>
      <c r="K766" t="str">
        <f>REPLACE(IF(G2&gt;0,REPLACE(J766,57,8,G2),""),FIND("ABC",J766,1),3,$I$2)</f>
        <v>&lt;em&gt;7.8.5.7. Australia ABC Market Size and Forecast, by GG (2024-2032)&lt;/em&gt;</v>
      </c>
    </row>
    <row r="767" spans="10:11" x14ac:dyDescent="0.25">
      <c r="J767" t="s">
        <v>805</v>
      </c>
      <c r="K767" t="str">
        <f>J767</f>
        <v>&lt;strong&gt;&lt;em&gt;7.8.6. Indonesia&lt;/em&gt;&lt;/strong&gt;</v>
      </c>
    </row>
    <row r="768" spans="10:11" x14ac:dyDescent="0.25">
      <c r="J768" t="s">
        <v>966</v>
      </c>
      <c r="K768" t="str">
        <f>REPLACE(IF(A2&gt;0,REPLACE(J768,57,8,A2),""),FIND("ABC",J768,1),3,$I$2)</f>
        <v>&lt;em&gt;7.8.6.1. Indonesia ABC Market Size and Forecast, by AA (2024-2032)&lt;/em&gt;</v>
      </c>
    </row>
    <row r="769" spans="10:11" x14ac:dyDescent="0.25">
      <c r="J769" t="s">
        <v>967</v>
      </c>
      <c r="K769" t="str">
        <f>REPLACE(IF(B2&gt;0,REPLACE(J769,57,8,B2),""),FIND("ABC",J769,1),3,$I$2)</f>
        <v>&lt;em&gt;7.8.6.2. Indonesia ABC Market Size and Forecast, by BB (2024-2032)&lt;/em&gt;</v>
      </c>
    </row>
    <row r="770" spans="10:11" x14ac:dyDescent="0.25">
      <c r="J770" t="s">
        <v>968</v>
      </c>
      <c r="K770" t="str">
        <f>REPLACE(IF(C2&gt;0,REPLACE(J770,57,8,C2),""),FIND("ABC",J770,1),3,$I$2)</f>
        <v>&lt;em&gt;7.8.6.3. Indonesia ABC Market Size and Forecast, by CC (2024-2032)&lt;/em&gt;</v>
      </c>
    </row>
    <row r="771" spans="10:11" x14ac:dyDescent="0.25">
      <c r="J771" t="s">
        <v>969</v>
      </c>
      <c r="K771" t="str">
        <f>REPLACE(IF(D2&gt;0,REPLACE(J771,57,8,D2),""),FIND("ABC",J771,1),3,$I$2)</f>
        <v>&lt;em&gt;7.8.6.4. Indonesia ABC Market Size and Forecast, by DD (2024-2032)&lt;/em&gt;</v>
      </c>
    </row>
    <row r="772" spans="10:11" x14ac:dyDescent="0.25">
      <c r="J772" t="s">
        <v>970</v>
      </c>
      <c r="K772" t="str">
        <f>REPLACE(IF(E2&gt;0,REPLACE(J772,57,8,E2),""),FIND("ABC",J772,1),3,$I$2)</f>
        <v>&lt;em&gt;7.8.6.5. Indonesia ABC Market Size and Forecast, by EE (2024-2032)&lt;/em&gt;</v>
      </c>
    </row>
    <row r="773" spans="10:11" x14ac:dyDescent="0.25">
      <c r="J773" t="s">
        <v>971</v>
      </c>
      <c r="K773" t="str">
        <f>REPLACE(IF(F2&gt;0,REPLACE(J773,57,8,F2),""),FIND("ABC",J773,1),3,$I$2)</f>
        <v>&lt;em&gt;7.8.6.6. Indonesia ABC Market Size and Forecast, by FF (2024-2032)&lt;/em&gt;</v>
      </c>
    </row>
    <row r="774" spans="10:11" x14ac:dyDescent="0.25">
      <c r="J774" t="s">
        <v>972</v>
      </c>
      <c r="K774" t="str">
        <f>REPLACE(IF(G2&gt;0,REPLACE(J774,57,8,G2),""),FIND("ABC",J774,1),3,$I$2)</f>
        <v>&lt;em&gt;7.8.6.7. Indonesia ABC Market Size and Forecast, by GG (2024-2032)&lt;/em&gt;</v>
      </c>
    </row>
    <row r="775" spans="10:11" x14ac:dyDescent="0.25">
      <c r="J775" t="s">
        <v>806</v>
      </c>
      <c r="K775" t="str">
        <f>J775</f>
        <v>&lt;strong&gt;&lt;em&gt;7.8.7. Malaysia&lt;/em&gt;&lt;/strong&gt;</v>
      </c>
    </row>
    <row r="776" spans="10:11" x14ac:dyDescent="0.25">
      <c r="J776" t="s">
        <v>973</v>
      </c>
      <c r="K776" t="str">
        <f>REPLACE(IF(A2&gt;0,REPLACE(J776,56,8,A2),""),FIND("ABC",J776,1),3,$I$2)</f>
        <v>&lt;em&gt;7.8.7.1. Malaysia ABC Market Size and Forecast, by AA (2024-2032)&lt;/em&gt;</v>
      </c>
    </row>
    <row r="777" spans="10:11" x14ac:dyDescent="0.25">
      <c r="J777" t="s">
        <v>974</v>
      </c>
      <c r="K777" t="str">
        <f>REPLACE(IF(B2&gt;0,REPLACE(J777,56,8,B2),""),FIND("ABC",J777,1),3,$I$2)</f>
        <v>&lt;em&gt;7.8.7.2. Malaysia ABC Market Size and Forecast, by BB (2024-2032)&lt;/em&gt;</v>
      </c>
    </row>
    <row r="778" spans="10:11" x14ac:dyDescent="0.25">
      <c r="J778" t="s">
        <v>975</v>
      </c>
      <c r="K778" t="str">
        <f>REPLACE(IF(C2&gt;0,REPLACE(J778,56,8,C2),""),FIND("ABC",J778,1),3,$I$2)</f>
        <v>&lt;em&gt;7.8.7.3. Malaysia ABC Market Size and Forecast, by CC (2024-2032)&lt;/em&gt;</v>
      </c>
    </row>
    <row r="779" spans="10:11" x14ac:dyDescent="0.25">
      <c r="J779" t="s">
        <v>976</v>
      </c>
      <c r="K779" t="str">
        <f>REPLACE(IF(D2&gt;0,REPLACE(J779,56,8,D2),""),FIND("ABC",J779,1),3,$I$2)</f>
        <v>&lt;em&gt;7.8.7.4. Malaysia ABC Market Size and Forecast, by DD (2024-2032)&lt;/em&gt;</v>
      </c>
    </row>
    <row r="780" spans="10:11" x14ac:dyDescent="0.25">
      <c r="J780" t="s">
        <v>977</v>
      </c>
      <c r="K780" t="str">
        <f>REPLACE(IF(E2&gt;0,REPLACE(J780,56,8,E2),""),FIND("ABC",J780,1),3,$I$2)</f>
        <v>&lt;em&gt;7.8.7.5. Malaysia ABC Market Size and Forecast, by EE (2024-2032)&lt;/em&gt;</v>
      </c>
    </row>
    <row r="781" spans="10:11" x14ac:dyDescent="0.25">
      <c r="J781" t="s">
        <v>978</v>
      </c>
      <c r="K781" t="str">
        <f>REPLACE(IF(F2&gt;0,REPLACE(J781,56,8,F2),""),FIND("ABC",J781,1),3,$I$2)</f>
        <v>&lt;em&gt;7.8.7.6. Malaysia ABC Market Size and Forecast, by FF (2024-2032)&lt;/em&gt;</v>
      </c>
    </row>
    <row r="782" spans="10:11" x14ac:dyDescent="0.25">
      <c r="J782" t="s">
        <v>979</v>
      </c>
      <c r="K782" t="str">
        <f>REPLACE(IF(G2&gt;0,REPLACE(J782,56,8,G2),""),FIND("ABC",J782,1),3,$I$2)</f>
        <v>&lt;em&gt;7.8.7.7. Malaysia ABC Market Size and Forecast, by GG (2024-2032)&lt;/em&gt;</v>
      </c>
    </row>
    <row r="783" spans="10:11" x14ac:dyDescent="0.25">
      <c r="J783" t="s">
        <v>807</v>
      </c>
      <c r="K783" t="str">
        <f>J783</f>
        <v>&lt;strong&gt;&lt;em&gt;7.8.8. Vietnam&lt;/em&gt;&lt;/strong&gt;</v>
      </c>
    </row>
    <row r="784" spans="10:11" x14ac:dyDescent="0.25">
      <c r="J784" t="s">
        <v>980</v>
      </c>
      <c r="K784" t="str">
        <f>REPLACE(IF(A2&gt;0,REPLACE(J784,55,8,A2),""),FIND("ABC",J784,1),3,$I$2)</f>
        <v>&lt;em&gt;7.8.8.1. Vietnam ABC Market Size and Forecast, by AA (2024-2032)&lt;/em&gt;</v>
      </c>
    </row>
    <row r="785" spans="10:11" x14ac:dyDescent="0.25">
      <c r="J785" t="s">
        <v>981</v>
      </c>
      <c r="K785" t="str">
        <f>REPLACE(IF(B2&gt;0,REPLACE(J785,55,8,B2),""),FIND("ABC",J785,1),3,$I$2)</f>
        <v>&lt;em&gt;7.8.8.2. Vietnam ABC Market Size and Forecast, by BB (2024-2032)&lt;/em&gt;</v>
      </c>
    </row>
    <row r="786" spans="10:11" x14ac:dyDescent="0.25">
      <c r="J786" t="s">
        <v>982</v>
      </c>
      <c r="K786" t="str">
        <f>REPLACE(IF(C2&gt;0,REPLACE(J786,55,8,C2),""),FIND("ABC",J786,1),3,$I$2)</f>
        <v>&lt;em&gt;7.8.8.3. Vietnam ABC Market Size and Forecast, by CC (2024-2032)&lt;/em&gt;</v>
      </c>
    </row>
    <row r="787" spans="10:11" x14ac:dyDescent="0.25">
      <c r="J787" t="s">
        <v>983</v>
      </c>
      <c r="K787" t="str">
        <f>REPLACE(IF(D2&gt;0,REPLACE(J787,55,8,D2),""),FIND("ABC",J787,1),3,$I$2)</f>
        <v>&lt;em&gt;7.8.8.4. Vietnam ABC Market Size and Forecast, by DD (2024-2032)&lt;/em&gt;</v>
      </c>
    </row>
    <row r="788" spans="10:11" x14ac:dyDescent="0.25">
      <c r="J788" t="s">
        <v>984</v>
      </c>
      <c r="K788" t="str">
        <f>REPLACE(IF(E2&gt;0,REPLACE(J788,55,8,E2),""),FIND("ABC",J788,1),3,$I$2)</f>
        <v>&lt;em&gt;7.8.8.5. Vietnam ABC Market Size and Forecast, by EE (2024-2032)&lt;/em&gt;</v>
      </c>
    </row>
    <row r="789" spans="10:11" x14ac:dyDescent="0.25">
      <c r="J789" t="s">
        <v>985</v>
      </c>
      <c r="K789" t="str">
        <f>REPLACE(IF(F2&gt;0,REPLACE(J789,55,8,F2),""),FIND("ABC",J789,1),3,$I$2)</f>
        <v>&lt;em&gt;7.8.8.6. Vietnam ABC Market Size and Forecast, by FF (2024-2032)&lt;/em&gt;</v>
      </c>
    </row>
    <row r="790" spans="10:11" x14ac:dyDescent="0.25">
      <c r="J790" t="s">
        <v>986</v>
      </c>
      <c r="K790" t="str">
        <f>REPLACE(IF(G2&gt;0,REPLACE(J790,55,8,G2),""),FIND("ABC",J790,1),3,$I$2)</f>
        <v>&lt;em&gt;7.8.8.7. Vietnam ABC Market Size and Forecast, by GG (2024-2032)&lt;/em&gt;</v>
      </c>
    </row>
    <row r="791" spans="10:11" x14ac:dyDescent="0.25">
      <c r="J791" t="s">
        <v>808</v>
      </c>
      <c r="K791" t="str">
        <f>J791</f>
        <v>&lt;strong&gt;&lt;em&gt;7.8.9. Taiwan&lt;/em&gt;&lt;/strong&gt;</v>
      </c>
    </row>
    <row r="792" spans="10:11" x14ac:dyDescent="0.25">
      <c r="J792" t="s">
        <v>987</v>
      </c>
      <c r="K792" t="str">
        <f>REPLACE(IF(A2&gt;0,REPLACE(J792,54,8,A2),""),FIND("ABC",J792,1),3,$I$2)</f>
        <v>&lt;em&gt;7.8.9.1. Taiwan ABC Market Size and Forecast, by AA (2024-2032)&lt;/em&gt;</v>
      </c>
    </row>
    <row r="793" spans="10:11" x14ac:dyDescent="0.25">
      <c r="J793" t="s">
        <v>988</v>
      </c>
      <c r="K793" t="str">
        <f>REPLACE(IF(B2&gt;0,REPLACE(J793,54,8,B2),""),FIND("ABC",J793,1),3,$I$2)</f>
        <v>&lt;em&gt;7.8.9.2. Taiwan ABC Market Size and Forecast, by BB (2024-2032)&lt;/em&gt;</v>
      </c>
    </row>
    <row r="794" spans="10:11" x14ac:dyDescent="0.25">
      <c r="J794" t="s">
        <v>989</v>
      </c>
      <c r="K794" t="str">
        <f>REPLACE(IF(C2&gt;0,REPLACE(J794,54,8,C2),""),FIND("ABC",J794,1),3,$I$2)</f>
        <v>&lt;em&gt;7.8.9.3. Taiwan ABC Market Size and Forecast, by CC (2024-2032)&lt;/em&gt;</v>
      </c>
    </row>
    <row r="795" spans="10:11" x14ac:dyDescent="0.25">
      <c r="J795" t="s">
        <v>990</v>
      </c>
      <c r="K795" t="str">
        <f>REPLACE(IF(D2&gt;0,REPLACE(J795,54,8,D2),""),FIND("ABC",J795,1),3,$I$2)</f>
        <v>&lt;em&gt;7.8.9.4. Taiwan ABC Market Size and Forecast, by DD (2024-2032)&lt;/em&gt;</v>
      </c>
    </row>
    <row r="796" spans="10:11" x14ac:dyDescent="0.25">
      <c r="J796" t="s">
        <v>991</v>
      </c>
      <c r="K796" t="str">
        <f>REPLACE(IF(E2&gt;0,REPLACE(J796,54,8,E2),""),FIND("ABC",J796,1),3,$I$2)</f>
        <v>&lt;em&gt;7.8.9.5. Taiwan ABC Market Size and Forecast, by EE (2024-2032)&lt;/em&gt;</v>
      </c>
    </row>
    <row r="797" spans="10:11" x14ac:dyDescent="0.25">
      <c r="J797" t="s">
        <v>992</v>
      </c>
      <c r="K797" t="str">
        <f>REPLACE(IF(F2&gt;0,REPLACE(J797,54,8,F2),""),FIND("ABC",J797,1),3,$I$2)</f>
        <v>&lt;em&gt;7.8.9.6. Taiwan ABC Market Size and Forecast, by FF (2024-2032)&lt;/em&gt;</v>
      </c>
    </row>
    <row r="798" spans="10:11" x14ac:dyDescent="0.25">
      <c r="J798" t="s">
        <v>993</v>
      </c>
      <c r="K798" t="str">
        <f>REPLACE(IF(G2&gt;0,REPLACE(J798,54,8,G2),""),FIND("ABC",J798,1),3,$I$2)</f>
        <v>&lt;em&gt;7.8.9.7. Taiwan ABC Market Size and Forecast, by GG (2024-2032)&lt;/em&gt;</v>
      </c>
    </row>
    <row r="799" spans="10:11" x14ac:dyDescent="0.25">
      <c r="J799" t="s">
        <v>809</v>
      </c>
      <c r="K799" t="str">
        <f>J799</f>
        <v>&lt;strong&gt;&lt;em&gt;7.8.10. Rest of Asia Pacific&lt;/em&gt;&lt;/strong&gt;</v>
      </c>
    </row>
    <row r="800" spans="10:11" x14ac:dyDescent="0.25">
      <c r="J800" t="s">
        <v>994</v>
      </c>
      <c r="K800" t="str">
        <f>REPLACE(IF(A2&gt;0,REPLACE(J800,69,8,A2),""),FIND("ABC",J800,1),3,$I$2)</f>
        <v>&lt;em&gt;7.8.10.1. Rest of Asia Pacific ABC Market Size and Forecast, by AA (2024-2032)&lt;/em&gt;</v>
      </c>
    </row>
    <row r="801" spans="10:11" x14ac:dyDescent="0.25">
      <c r="J801" t="s">
        <v>995</v>
      </c>
      <c r="K801" t="str">
        <f>REPLACE(IF(B2&gt;0,REPLACE(J801,69,8,B2),""),FIND("ABC",J801,1),3,$I$2)</f>
        <v>&lt;em&gt;7.8.10.2. Rest of Asia Pacific ABC Market Size and Forecast, by BB (2024-2032)&lt;/em&gt;</v>
      </c>
    </row>
    <row r="802" spans="10:11" x14ac:dyDescent="0.25">
      <c r="J802" t="s">
        <v>996</v>
      </c>
      <c r="K802" t="str">
        <f>REPLACE(IF(C2&gt;0,REPLACE(J802,69,8,C2),""),FIND("ABC",J802,1),3,$I$2)</f>
        <v>&lt;em&gt;7.8.10.3. Rest of Asia Pacific ABC Market Size and Forecast, by CC (2024-2032)&lt;/em&gt;</v>
      </c>
    </row>
    <row r="803" spans="10:11" x14ac:dyDescent="0.25">
      <c r="J803" t="s">
        <v>997</v>
      </c>
      <c r="K803" t="str">
        <f>REPLACE(IF(D2&gt;0,REPLACE(J803,69,8,D2),""),FIND("ABC",J803,1),3,$I$2)</f>
        <v>&lt;em&gt;7.8.10.4. Rest of Asia Pacific ABC Market Size and Forecast, by DD (2024-2032)&lt;/em&gt;</v>
      </c>
    </row>
    <row r="804" spans="10:11" x14ac:dyDescent="0.25">
      <c r="J804" t="s">
        <v>998</v>
      </c>
      <c r="K804" t="str">
        <f>REPLACE(IF(E2&gt;0,REPLACE(J804,69,8,E2),""),FIND("ABC",J804,1),3,$I$2)</f>
        <v>&lt;em&gt;7.8.10.5. Rest of Asia Pacific ABC Market Size and Forecast, by EE (2024-2032)&lt;/em&gt;</v>
      </c>
    </row>
    <row r="805" spans="10:11" x14ac:dyDescent="0.25">
      <c r="J805" t="s">
        <v>999</v>
      </c>
      <c r="K805" t="str">
        <f>REPLACE(IF(F2&gt;0,REPLACE(J805,69,8,F2),""),FIND("ABC",J805,1),3,$I$2)</f>
        <v>&lt;em&gt;7.8.10.6. Rest of Asia Pacific ABC Market Size and Forecast, by FF (2024-2032)&lt;/em&gt;</v>
      </c>
    </row>
    <row r="806" spans="10:11" x14ac:dyDescent="0.25">
      <c r="J806" t="s">
        <v>1000</v>
      </c>
      <c r="K806" t="str">
        <f>REPLACE(IF(G2&gt;0,REPLACE(J806,69,8,G2),""),FIND("ABC",J806,1),3,$I$2)</f>
        <v>&lt;em&gt;7.8.10.7. Rest of Asia Pacific ABC Market Size and Forecast, by GG (2024-2032)&lt;/em&gt;</v>
      </c>
    </row>
    <row r="808" spans="10:11" x14ac:dyDescent="0.25">
      <c r="J808" t="s">
        <v>1001</v>
      </c>
      <c r="K808" t="str">
        <f>REPLACE(J808,FIND("ABC",J808,1),3,I2)</f>
        <v>&lt;strong&gt;8. Middle East and Africa ABC Market Size and Forecast by Segmentation (by Value in USD Million) 2024-2032&lt;/strong&gt;</v>
      </c>
    </row>
    <row r="809" spans="10:11" x14ac:dyDescent="0.25">
      <c r="J809" t="s">
        <v>1002</v>
      </c>
      <c r="K809" t="str">
        <f>REPLACE(IF(A2&gt;0,REPLACE(J809,62,8,A2),""),FIND("ABC",J809,1),3,$I$2)</f>
        <v>8.1. Middle East and Africa ABC Market Size and Forecast, by AA (2024-2032)</v>
      </c>
    </row>
    <row r="810" spans="10:11" x14ac:dyDescent="0.25">
      <c r="J810" t="s">
        <v>1003</v>
      </c>
      <c r="K810" t="str">
        <f>REPLACE(IF(B2&gt;0,REPLACE(J810,62,8,B2),""),FIND("ABC",J810,1),3,$I$2)</f>
        <v>8.2. Middle East and Africa ABC Market Size and Forecast, by BB (2024-2032)</v>
      </c>
    </row>
    <row r="811" spans="10:11" x14ac:dyDescent="0.25">
      <c r="J811" t="s">
        <v>1004</v>
      </c>
      <c r="K811" t="str">
        <f>REPLACE(IF(C2&gt;0,REPLACE(J811,62,8,C2),""),FIND("ABC",J811,1),3,$I$2)</f>
        <v>8.3. Middle East and Africa ABC Market Size and Forecast, by CC (2024-2032)</v>
      </c>
    </row>
    <row r="812" spans="10:11" x14ac:dyDescent="0.25">
      <c r="J812" t="s">
        <v>1005</v>
      </c>
      <c r="K812" t="str">
        <f>REPLACE(IF(D2&gt;0,REPLACE(J812,62,8,D2),""),FIND("ABC",J812,1),3,$I$2)</f>
        <v>8.4. Middle East and Africa ABC Market Size and Forecast, by DD (2024-2032)</v>
      </c>
    </row>
    <row r="813" spans="10:11" x14ac:dyDescent="0.25">
      <c r="J813" t="s">
        <v>1006</v>
      </c>
      <c r="K813" t="str">
        <f>REPLACE(IF(E2&gt;0,REPLACE(J813,62,8,E2),""),FIND("ABC",J813,1),3,$I$2)</f>
        <v>8.5. Middle East and Africa ABC Market Size and Forecast, by EE (2024-2032)</v>
      </c>
    </row>
    <row r="814" spans="10:11" x14ac:dyDescent="0.25">
      <c r="J814" t="s">
        <v>1007</v>
      </c>
      <c r="K814" t="str">
        <f>REPLACE(IF(F2&gt;0,REPLACE(J814,62,8,F2),""),FIND("ABC",J814,1),3,$I$2)</f>
        <v>8.6. Middle East and Africa ABC Market Size and Forecast, by FF (2024-2032)</v>
      </c>
    </row>
    <row r="815" spans="10:11" x14ac:dyDescent="0.25">
      <c r="J815" t="s">
        <v>1008</v>
      </c>
      <c r="K815" t="str">
        <f>REPLACE(IF(G2&gt;0,REPLACE(J815,62,8,G2),""),FIND("ABC",J815,1),3,$I$2)</f>
        <v>8.7. Middle East and Africa ABC Market Size and Forecast, by GG (2024-2032)</v>
      </c>
    </row>
    <row r="816" spans="10:11" x14ac:dyDescent="0.25">
      <c r="J816" t="s">
        <v>1009</v>
      </c>
      <c r="K816" t="str">
        <f>REPLACE(J816,FIND("ABC",J816,1),3,$I$2)</f>
        <v>8.8. Middle East and Africa ABC Market Size and Forecast, by Country (2024-2032)</v>
      </c>
    </row>
    <row r="817" spans="10:11" x14ac:dyDescent="0.25">
      <c r="J817" t="s">
        <v>810</v>
      </c>
      <c r="K817" t="str">
        <f>J817</f>
        <v>&lt;strong&gt;&lt;em&gt;8.8.1. South Africa&lt;/em&gt;&lt;/strong&gt;</v>
      </c>
    </row>
    <row r="818" spans="10:11" x14ac:dyDescent="0.25">
      <c r="J818" t="s">
        <v>1010</v>
      </c>
      <c r="K818" t="str">
        <f>REPLACE(IF(A2&gt;0,REPLACE(J818,60,8,A2),""),FIND("ABC",J818,1),3,$I$2)</f>
        <v>&lt;em&gt;8.8.1.1. South Africa ABC Market Size and Forecast, by AA (2024-2032)&lt;/em&gt;</v>
      </c>
    </row>
    <row r="819" spans="10:11" x14ac:dyDescent="0.25">
      <c r="J819" t="s">
        <v>1011</v>
      </c>
      <c r="K819" t="str">
        <f>REPLACE(IF(B2&gt;0,REPLACE(J819,60,8,B2),""),FIND("ABC",J819,1),3,$I$2)</f>
        <v>&lt;em&gt;8.8.1.2. South Africa ABC Market Size and Forecast, by BB (2024-2032)&lt;/em&gt;</v>
      </c>
    </row>
    <row r="820" spans="10:11" x14ac:dyDescent="0.25">
      <c r="J820" t="s">
        <v>1012</v>
      </c>
      <c r="K820" t="str">
        <f>REPLACE(IF(C2&gt;0,REPLACE(J820,60,8,C2),""),FIND("ABC",J820,1),3,$I$2)</f>
        <v>&lt;em&gt;8.8.1.3. South Africa ABC Market Size and Forecast, by CC (2024-2032)&lt;/em&gt;</v>
      </c>
    </row>
    <row r="821" spans="10:11" x14ac:dyDescent="0.25">
      <c r="J821" t="s">
        <v>1013</v>
      </c>
      <c r="K821" t="str">
        <f>REPLACE(IF(D2&gt;0,REPLACE(J821,60,8,D2),""),FIND("ABC",J821,1),3,$I$2)</f>
        <v>&lt;em&gt;8.8.1.4. South Africa ABC Market Size and Forecast, by DD (2024-2032)&lt;/em&gt;</v>
      </c>
    </row>
    <row r="822" spans="10:11" x14ac:dyDescent="0.25">
      <c r="J822" t="s">
        <v>1014</v>
      </c>
      <c r="K822" t="str">
        <f>REPLACE(IF(E2&gt;0,REPLACE(J822,60,8,E2),""),FIND("ABC",J822,1),3,$I$2)</f>
        <v>&lt;em&gt;8.8.1.5. South Africa ABC Market Size and Forecast, by EE (2024-2032)&lt;/em&gt;</v>
      </c>
    </row>
    <row r="823" spans="10:11" x14ac:dyDescent="0.25">
      <c r="J823" t="s">
        <v>1015</v>
      </c>
      <c r="K823" t="str">
        <f>REPLACE(IF(F2&gt;0,REPLACE(J823,60,8,F2),""),FIND("ABC",J823,1),3,$I$2)</f>
        <v>&lt;em&gt;8.8.1.6. South Africa ABC Market Size and Forecast, by FF (2024-2032)&lt;/em&gt;</v>
      </c>
    </row>
    <row r="824" spans="10:11" x14ac:dyDescent="0.25">
      <c r="J824" t="s">
        <v>1016</v>
      </c>
      <c r="K824" t="str">
        <f>REPLACE(IF(G2&gt;0,REPLACE(J824,60,8,G2),""),FIND("ABC",J824,1),3,$I$2)</f>
        <v>&lt;em&gt;8.8.1.7. South Africa ABC Market Size and Forecast, by GG (2024-2032)&lt;/em&gt;</v>
      </c>
    </row>
    <row r="825" spans="10:11" x14ac:dyDescent="0.25">
      <c r="J825" t="s">
        <v>811</v>
      </c>
      <c r="K825" t="str">
        <f>J825</f>
        <v>&lt;strong&gt;&lt;em&gt;8.8.2. GCC&lt;/em&gt;&lt;/strong&gt;</v>
      </c>
    </row>
    <row r="826" spans="10:11" x14ac:dyDescent="0.25">
      <c r="J826" t="s">
        <v>1017</v>
      </c>
      <c r="K826" t="str">
        <f>REPLACE(IF(A2&gt;0,REPLACE(J826,51,8,A2),""),FIND("ABC",J826,1),3,$I$2)</f>
        <v>&lt;em&gt;8.8.2.1. GCC ABC Market Size and Forecast, by AA (2024-2032)&lt;/em&gt;</v>
      </c>
    </row>
    <row r="827" spans="10:11" x14ac:dyDescent="0.25">
      <c r="J827" t="s">
        <v>1018</v>
      </c>
      <c r="K827" t="str">
        <f>REPLACE(IF(B2&gt;0,REPLACE(J827,51,8,B2),""),FIND("ABC",J827,1),3,$I$2)</f>
        <v>&lt;em&gt;8.8.2.2. GCC ABC Market Size and Forecast, by BB (2024-2032)&lt;/em&gt;</v>
      </c>
    </row>
    <row r="828" spans="10:11" x14ac:dyDescent="0.25">
      <c r="J828" t="s">
        <v>1019</v>
      </c>
      <c r="K828" t="str">
        <f>REPLACE(IF(C2&gt;0,REPLACE(J828,51,8,C2),""),FIND("ABC",J828,1),3,$I$2)</f>
        <v>&lt;em&gt;8.8.2.3. GCC ABC Market Size and Forecast, by CC (2024-2032)&lt;/em&gt;</v>
      </c>
    </row>
    <row r="829" spans="10:11" x14ac:dyDescent="0.25">
      <c r="J829" t="s">
        <v>1020</v>
      </c>
      <c r="K829" t="str">
        <f>REPLACE(IF(D2&gt;0,REPLACE(J829,51,8,D2),""),FIND("ABC",J829,1),3,$I$2)</f>
        <v>&lt;em&gt;8.8.2.4. GCC ABC Market Size and Forecast, by DD (2024-2032)&lt;/em&gt;</v>
      </c>
    </row>
    <row r="830" spans="10:11" x14ac:dyDescent="0.25">
      <c r="J830" t="s">
        <v>1021</v>
      </c>
      <c r="K830" t="str">
        <f>REPLACE(IF(E2&gt;0,REPLACE(J830,51,8,E2),""),FIND("ABC",J830,1),3,$I$2)</f>
        <v>&lt;em&gt;8.8.2.5. GCC ABC Market Size and Forecast, by EE (2024-2032)&lt;/em&gt;</v>
      </c>
    </row>
    <row r="831" spans="10:11" x14ac:dyDescent="0.25">
      <c r="J831" t="s">
        <v>1022</v>
      </c>
      <c r="K831" t="str">
        <f>REPLACE(IF(F2&gt;0,REPLACE(J831,51,8,F2),""),FIND("ABC",J831,1),3,$I$2)</f>
        <v>&lt;em&gt;8.8.2.6. GCC ABC Market Size and Forecast, by FF (2024-2032)&lt;/em&gt;</v>
      </c>
    </row>
    <row r="832" spans="10:11" x14ac:dyDescent="0.25">
      <c r="J832" t="s">
        <v>1023</v>
      </c>
      <c r="K832" t="str">
        <f>REPLACE(IF(G2&gt;0,REPLACE(J832,51,8,G2),""),FIND("ABC",J832,1),3,$I$2)</f>
        <v>&lt;em&gt;8.8.2.7. GCC ABC Market Size and Forecast, by GG (2024-2032)&lt;/em&gt;</v>
      </c>
    </row>
    <row r="833" spans="10:11" x14ac:dyDescent="0.25">
      <c r="J833" t="s">
        <v>812</v>
      </c>
      <c r="K833" t="str">
        <f>J833</f>
        <v>&lt;strong&gt;&lt;em&gt;8.8.3. Nigeria&lt;/em&gt;&lt;/strong&gt;</v>
      </c>
    </row>
    <row r="834" spans="10:11" x14ac:dyDescent="0.25">
      <c r="J834" t="s">
        <v>1024</v>
      </c>
      <c r="K834" t="str">
        <f>REPLACE(IF(A2&gt;0,REPLACE(J834,55,8,A2),""),FIND("ABC",J834,1),3,$I$2)</f>
        <v>&lt;em&gt;8.8.3.1. Nigeria ABC Market Size and Forecast, by AA (2024-2032)&lt;/em&gt;</v>
      </c>
    </row>
    <row r="835" spans="10:11" x14ac:dyDescent="0.25">
      <c r="J835" t="s">
        <v>1025</v>
      </c>
      <c r="K835" t="str">
        <f>REPLACE(IF(B2&gt;0,REPLACE(J835,55,8,B2),""),FIND("ABC",J835,1),3,$I$2)</f>
        <v>&lt;em&gt;8.8.3.2. Nigeria ABC Market Size and Forecast, by BB (2024-2032)&lt;/em&gt;</v>
      </c>
    </row>
    <row r="836" spans="10:11" x14ac:dyDescent="0.25">
      <c r="J836" t="s">
        <v>1026</v>
      </c>
      <c r="K836" t="str">
        <f>REPLACE(IF(C2&gt;0,REPLACE(J836,55,8,C2),""),FIND("ABC",J836,1),3,$I$2)</f>
        <v>&lt;em&gt;8.8.3.3. Nigeria ABC Market Size and Forecast, by CC (2024-2032)&lt;/em&gt;</v>
      </c>
    </row>
    <row r="837" spans="10:11" x14ac:dyDescent="0.25">
      <c r="J837" t="s">
        <v>1027</v>
      </c>
      <c r="K837" t="str">
        <f>REPLACE(IF(D2&gt;0,REPLACE(J837,55,8,D2),""),FIND("ABC",J837,1),3,$I$2)</f>
        <v>&lt;em&gt;8.8.3.4. Nigeria ABC Market Size and Forecast, by DD (2024-2032)&lt;/em&gt;</v>
      </c>
    </row>
    <row r="838" spans="10:11" x14ac:dyDescent="0.25">
      <c r="J838" t="s">
        <v>1028</v>
      </c>
      <c r="K838" t="str">
        <f>REPLACE(IF(E2&gt;0,REPLACE(J838,55,8,E2),""),FIND("ABC",J838,1),3,$I$2)</f>
        <v>&lt;em&gt;8.8.3.5. Nigeria ABC Market Size and Forecast, by EE (2024-2032)&lt;/em&gt;</v>
      </c>
    </row>
    <row r="839" spans="10:11" x14ac:dyDescent="0.25">
      <c r="J839" t="s">
        <v>1029</v>
      </c>
      <c r="K839" t="str">
        <f>REPLACE(IF(F2&gt;0,REPLACE(J839,55,8,F2),""),FIND("ABC",J839,1),3,$I$2)</f>
        <v>&lt;em&gt;8.8.3.6. Nigeria ABC Market Size and Forecast, by FF (2024-2032)&lt;/em&gt;</v>
      </c>
    </row>
    <row r="840" spans="10:11" x14ac:dyDescent="0.25">
      <c r="J840" t="s">
        <v>1030</v>
      </c>
      <c r="K840" t="str">
        <f>REPLACE(IF(G2&gt;0,REPLACE(J840,55,8,G2),""),FIND("ABC",J840,1),3,$I$2)</f>
        <v>&lt;em&gt;8.8.3.7. Nigeria ABC Market Size and Forecast, by GG (2024-2032)&lt;/em&gt;</v>
      </c>
    </row>
    <row r="841" spans="10:11" x14ac:dyDescent="0.25">
      <c r="J841" t="s">
        <v>813</v>
      </c>
      <c r="K841" t="str">
        <f>J841</f>
        <v>&lt;strong&gt;&lt;em&gt;8.8.4. Rest of ME&amp;amp;A&lt;/em&gt;&lt;/strong&gt;</v>
      </c>
    </row>
    <row r="842" spans="10:11" x14ac:dyDescent="0.25">
      <c r="J842" t="s">
        <v>1031</v>
      </c>
      <c r="K842" t="str">
        <f>REPLACE(IF(A2&gt;0,REPLACE(J842,64,8,A2),""),FIND("ABC",J842,1),3,$I$2)</f>
        <v>&lt;em&gt;8.8.4.1. Rest of ME&amp;amp;A ABC Market Size and Forecast, by AA (2024-2032)&lt;/em&gt;</v>
      </c>
    </row>
    <row r="843" spans="10:11" x14ac:dyDescent="0.25">
      <c r="J843" t="s">
        <v>1032</v>
      </c>
      <c r="K843" t="str">
        <f>REPLACE(IF(B2&gt;0,REPLACE(J843,64,8,B2),""),FIND("ABC",J843,1),3,$I$2)</f>
        <v>&lt;em&gt;8.8.4.2. Rest of ME&amp;amp;A ABC Market Size and Forecast, by BB (2024-2032)&lt;/em&gt;</v>
      </c>
    </row>
    <row r="844" spans="10:11" x14ac:dyDescent="0.25">
      <c r="J844" t="s">
        <v>1033</v>
      </c>
      <c r="K844" t="str">
        <f>REPLACE(IF(C2&gt;0,REPLACE(J844,64,8,C2),""),FIND("ABC",J844,1),3,$I$2)</f>
        <v>&lt;em&gt;8.8.4.3. Rest of ME&amp;amp;A ABC Market Size and Forecast, by CC (2024-2032)&lt;/em&gt;</v>
      </c>
    </row>
    <row r="845" spans="10:11" x14ac:dyDescent="0.25">
      <c r="J845" t="s">
        <v>1034</v>
      </c>
      <c r="K845" t="str">
        <f>REPLACE(IF(D2&gt;0,REPLACE(J845,64,8,D2),""),FIND("ABC",J845,1),3,$I$2)</f>
        <v>&lt;em&gt;8.8.4.4. Rest of ME&amp;amp;A ABC Market Size and Forecast, by DD (2024-2032)&lt;/em&gt;</v>
      </c>
    </row>
    <row r="846" spans="10:11" x14ac:dyDescent="0.25">
      <c r="J846" t="s">
        <v>1035</v>
      </c>
      <c r="K846" t="str">
        <f>REPLACE(IF(E2&gt;0,REPLACE(J846,64,8,E2),""),FIND("ABC",J846,1),3,$I$2)</f>
        <v>&lt;em&gt;8.8.4.5. Rest of ME&amp;amp;A ABC Market Size and Forecast, by EE (2024-2032)&lt;/em&gt;</v>
      </c>
    </row>
    <row r="847" spans="10:11" x14ac:dyDescent="0.25">
      <c r="J847" t="s">
        <v>1036</v>
      </c>
      <c r="K847" t="str">
        <f>REPLACE(IF(F2&gt;0,REPLACE(J847,64,8,F2),""),FIND("ABC",J847,1),3,$I$2)</f>
        <v>&lt;em&gt;8.8.4.6. Rest of ME&amp;amp;A ABC Market Size and Forecast, by FF (2024-2032)&lt;/em&gt;</v>
      </c>
    </row>
    <row r="848" spans="10:11" x14ac:dyDescent="0.25">
      <c r="J848" t="s">
        <v>1037</v>
      </c>
      <c r="K848" t="str">
        <f>REPLACE(IF(G2&gt;0,REPLACE(J848,64,8,G2),""),FIND("ABC",J848,1),3,$I$2)</f>
        <v>&lt;em&gt;8.8.4.7. Rest of ME&amp;amp;A ABC Market Size and Forecast, by GG (2024-2032)&lt;/em&gt;</v>
      </c>
    </row>
    <row r="850" spans="10:11" x14ac:dyDescent="0.25">
      <c r="J850" t="s">
        <v>1038</v>
      </c>
      <c r="K850" t="str">
        <f>REPLACE(J850,FIND("ABC",J850,1),3,$I$2)</f>
        <v>&lt;strong&gt;9. South America ABC Market Size and Forecast by Segmentation (by Value in USD Million) 2024-2032&lt;/strong&gt;</v>
      </c>
    </row>
    <row r="851" spans="10:11" x14ac:dyDescent="0.25">
      <c r="J851" t="s">
        <v>1039</v>
      </c>
      <c r="K851" t="str">
        <f>REPLACE(IF(A2&gt;0,REPLACE(J851,53,8,A2),""),FIND("ABC",J851,1),3,$I$2)</f>
        <v>9.1. South America ABC Market Size and Forecast, by AA (2024-2032)</v>
      </c>
    </row>
    <row r="852" spans="10:11" x14ac:dyDescent="0.25">
      <c r="J852" t="s">
        <v>1040</v>
      </c>
      <c r="K852" t="str">
        <f>REPLACE(IF(B2&gt;0,REPLACE(J852,53,8,B2),""),FIND("ABC",J852,1),3,$I$2)</f>
        <v>9.2. South America ABC Market Size and Forecast, by BB (2024-2032)</v>
      </c>
    </row>
    <row r="853" spans="10:11" x14ac:dyDescent="0.25">
      <c r="J853" t="s">
        <v>1041</v>
      </c>
      <c r="K853" t="str">
        <f>REPLACE(IF(C2&gt;0,REPLACE(J853,53,8,C2),""),FIND("ABC",J853,1),3,$I$2)</f>
        <v>9.3. South America ABC Market Size and Forecast, by CC(2024-2032)</v>
      </c>
    </row>
    <row r="854" spans="10:11" x14ac:dyDescent="0.25">
      <c r="J854" t="s">
        <v>1042</v>
      </c>
      <c r="K854" t="str">
        <f>REPLACE(IF(D2&gt;0,REPLACE(J854,53,8,D2),""),FIND("ABC",J854,1),3,$I$2)</f>
        <v>9.4. South America ABC Market Size and Forecast, by DD (2024-2032)</v>
      </c>
    </row>
    <row r="855" spans="10:11" x14ac:dyDescent="0.25">
      <c r="J855" t="s">
        <v>1043</v>
      </c>
      <c r="K855" t="str">
        <f>REPLACE(IF(E2&gt;0,REPLACE(J855,53,8,E2),""),FIND("ABC",J855,1),3,$I$2)</f>
        <v>9.5. South America ABC Market Size and Forecast, by EE (2024-2032)</v>
      </c>
    </row>
    <row r="856" spans="10:11" x14ac:dyDescent="0.25">
      <c r="J856" t="s">
        <v>1044</v>
      </c>
      <c r="K856" t="str">
        <f>REPLACE(IF(F2&gt;0,REPLACE(J856,53,8,F2),""),FIND("ABC",J856,1),3,$I$2)</f>
        <v>9.6. South America ABC Market Size and Forecast, by FF (2024-2032)</v>
      </c>
    </row>
    <row r="857" spans="10:11" x14ac:dyDescent="0.25">
      <c r="J857" t="s">
        <v>1045</v>
      </c>
      <c r="K857" t="str">
        <f>REPLACE(IF(G2&gt;0,REPLACE(J857,53,8,G2),""),FIND("ABC",J857,1),3,$I$2)</f>
        <v>9.7. South America ABC Market Size and Forecast, by GG (2024-2032)</v>
      </c>
    </row>
    <row r="858" spans="10:11" x14ac:dyDescent="0.25">
      <c r="J858" t="s">
        <v>1046</v>
      </c>
      <c r="K858" t="str">
        <f>REPLACE(J858,FIND("ABC",J858,1),3,$I$2)</f>
        <v>9.8. South America ABC Market Size and Forecast, by Country (2024-2032)</v>
      </c>
    </row>
    <row r="859" spans="10:11" x14ac:dyDescent="0.25">
      <c r="J859" t="s">
        <v>814</v>
      </c>
      <c r="K859" t="str">
        <f>J859</f>
        <v>&lt;strong&gt;&lt;em&gt;9.8.1. Brazil&lt;/em&gt;&lt;/strong&gt;</v>
      </c>
    </row>
    <row r="860" spans="10:11" x14ac:dyDescent="0.25">
      <c r="J860" t="s">
        <v>1047</v>
      </c>
      <c r="K860" t="str">
        <f>REPLACE(IF(A2&gt;0,REPLACE(J860,54,8,A2),""),FIND("ABC",J860,1),3,$I$2)</f>
        <v>&lt;em&gt;9.8.1.1. Brazil ABC Market Size and Forecast, by AA (2024-2032)&lt;/em&gt;</v>
      </c>
    </row>
    <row r="861" spans="10:11" x14ac:dyDescent="0.25">
      <c r="J861" t="s">
        <v>1048</v>
      </c>
      <c r="K861" t="str">
        <f>REPLACE(IF(B2&gt;0,REPLACE(J861,54,8,B2),""),FIND("ABC",J861,1),3,$I$2)</f>
        <v>&lt;em&gt;9.8.1.2. Brazil ABC Market Size and Forecast, by BB (2024-2032)&lt;/em&gt;</v>
      </c>
    </row>
    <row r="862" spans="10:11" x14ac:dyDescent="0.25">
      <c r="J862" t="s">
        <v>1049</v>
      </c>
      <c r="K862" t="str">
        <f>REPLACE(IF(C2&gt;0,REPLACE(J862,54,8,C2),""),FIND("ABC",J862,1),3,$I$2)</f>
        <v>&lt;em&gt;9.8.1.3. Brazil ABC Market Size and Forecast, by CC (2024-2032)&lt;/em&gt;</v>
      </c>
    </row>
    <row r="863" spans="10:11" x14ac:dyDescent="0.25">
      <c r="J863" t="s">
        <v>1050</v>
      </c>
      <c r="K863" t="str">
        <f>REPLACE(IF(D2&gt;0,REPLACE(J863,54,8,D2),""),FIND("ABC",J863,1),3,$I$2)</f>
        <v>&lt;em&gt;9.8.1.4. Brazil ABC Market Size and Forecast, by DD (2024-2032)&lt;/em&gt;</v>
      </c>
    </row>
    <row r="864" spans="10:11" x14ac:dyDescent="0.25">
      <c r="J864" t="s">
        <v>1051</v>
      </c>
      <c r="K864" t="str">
        <f>REPLACE(IF(E2&gt;0,REPLACE(J864,54,8,E2),""),FIND("ABC",J864,1),3,$I$2)</f>
        <v>&lt;em&gt;9.8.1.5. Brazil ABC Market Size and Forecast, by EE (2024-2032)&lt;/em&gt;</v>
      </c>
    </row>
    <row r="865" spans="10:11" x14ac:dyDescent="0.25">
      <c r="J865" t="s">
        <v>1052</v>
      </c>
      <c r="K865" t="str">
        <f>REPLACE(IF(F2&gt;0,REPLACE(J865,54,8,F2),""),FIND("ABC",J865,1),3,$I$2)</f>
        <v>&lt;em&gt;9.8.1.6. Brazil ABC Market Size and Forecast, by FF (2024-2032)&lt;/em&gt;</v>
      </c>
    </row>
    <row r="866" spans="10:11" x14ac:dyDescent="0.25">
      <c r="J866" t="s">
        <v>1053</v>
      </c>
      <c r="K866" t="str">
        <f>REPLACE(IF(G2&gt;0,REPLACE(J866,54,8,G2),""),FIND("ABC",J866,1),3,$I$2)</f>
        <v>&lt;em&gt;9.8.1.7. Brazil ABC Market Size and Forecast, by GG (2024-2032)&lt;/em&gt;</v>
      </c>
    </row>
    <row r="867" spans="10:11" x14ac:dyDescent="0.25">
      <c r="J867" t="s">
        <v>815</v>
      </c>
      <c r="K867" t="str">
        <f>J867</f>
        <v>&lt;strong&gt;&lt;em&gt;9.8.2. Argentina&lt;/em&gt;&lt;/strong&gt;</v>
      </c>
    </row>
    <row r="868" spans="10:11" x14ac:dyDescent="0.25">
      <c r="J868" t="s">
        <v>1054</v>
      </c>
      <c r="K868" t="str">
        <f>REPLACE(IF(A2&gt;0,REPLACE(J868,57,8,A2),""),FIND("ABC",J868,1),3,$I$2)</f>
        <v>&lt;em&gt;9.8.2.1. Argentina ABC Market Size and Forecast, by AA (2024-2032)&lt;/em&gt;</v>
      </c>
    </row>
    <row r="869" spans="10:11" x14ac:dyDescent="0.25">
      <c r="J869" t="s">
        <v>1055</v>
      </c>
      <c r="K869" t="str">
        <f>REPLACE(IF(B2&gt;0,REPLACE(J869,57,8,B2),""),FIND("ABC",J869,1),3,$I$2)</f>
        <v>&lt;em&gt;9.8.2.2. Argentina ABC Market Size and Forecast, by BB (2024-2032)&lt;/em&gt;</v>
      </c>
    </row>
    <row r="870" spans="10:11" x14ac:dyDescent="0.25">
      <c r="J870" t="s">
        <v>1056</v>
      </c>
      <c r="K870" t="str">
        <f>REPLACE(IF(C2&gt;0,REPLACE(J870,57,8,C2),""),FIND("ABC",J870,1),3,$I$2)</f>
        <v>&lt;em&gt;9.8.2.3. Argentina ABC Market Size and Forecast, by CC (2024-2032)&lt;/em&gt;</v>
      </c>
    </row>
    <row r="871" spans="10:11" x14ac:dyDescent="0.25">
      <c r="J871" t="s">
        <v>1057</v>
      </c>
      <c r="K871" t="str">
        <f>REPLACE(IF(D2&gt;0,REPLACE(J871,57,8,D2),""),FIND("ABC",J871,1),3,$I$2)</f>
        <v>&lt;em&gt;9.8.2.4. Argentina ABC Market Size and Forecast, by DD (2024-2032)&lt;/em&gt;</v>
      </c>
    </row>
    <row r="872" spans="10:11" x14ac:dyDescent="0.25">
      <c r="J872" t="s">
        <v>1058</v>
      </c>
      <c r="K872" t="str">
        <f>REPLACE(IF(E2&gt;0,REPLACE(J872,57,8,E2),""),FIND("ABC",J872,1),3,$I$2)</f>
        <v>&lt;em&gt;9.8.2.5. Argentina ABC Market Size and Forecast, by EE (2024-2032)&lt;/em&gt;</v>
      </c>
    </row>
    <row r="873" spans="10:11" x14ac:dyDescent="0.25">
      <c r="J873" t="s">
        <v>1059</v>
      </c>
      <c r="K873" t="str">
        <f>REPLACE(IF(F2&gt;0,REPLACE(J873,57,8,F2),""),FIND("ABC",J873,1),3,$I$2)</f>
        <v>&lt;em&gt;9.8.2.6. Argentina ABC Market Size and Forecast, by FF (2024-2032)&lt;/em&gt;</v>
      </c>
    </row>
    <row r="874" spans="10:11" x14ac:dyDescent="0.25">
      <c r="J874" t="s">
        <v>1060</v>
      </c>
      <c r="K874" t="str">
        <f>REPLACE(IF(G2&gt;0,REPLACE(J874,57,8,G2),""),FIND("ABC",J874,1),3,$I$2)</f>
        <v>&lt;em&gt;9.8.2.7. Argentina ABC Market Size and Forecast, by GG (2024-2032)&lt;/em&gt;</v>
      </c>
    </row>
    <row r="875" spans="10:11" x14ac:dyDescent="0.25">
      <c r="J875" t="s">
        <v>816</v>
      </c>
      <c r="K875" t="str">
        <f>J875</f>
        <v>&lt;strong&gt;&lt;em&gt;9.8.3. Rest Of South America&lt;/em&gt;&lt;/strong&gt;</v>
      </c>
    </row>
    <row r="876" spans="10:11" x14ac:dyDescent="0.25">
      <c r="J876" t="s">
        <v>1061</v>
      </c>
      <c r="K876" t="str">
        <f>REPLACE(IF(A2&gt;0,REPLACE(J876,69,8,A2),""),FIND("ABC",J876,1),3,$I$2)</f>
        <v>&lt;em&gt;9.8.3.1. Rest Of South America ABC Market Size and Forecast, by AA (2024-2032)&lt;/em&gt;</v>
      </c>
    </row>
    <row r="877" spans="10:11" x14ac:dyDescent="0.25">
      <c r="J877" t="s">
        <v>1062</v>
      </c>
      <c r="K877" t="str">
        <f>REPLACE(IF(B2&gt;0,REPLACE(J877,69,8,B2),""),FIND("ABC",J877,1),3,$I$2)</f>
        <v>&lt;em&gt;9.8.3.2. Rest Of South America ABC Market Size and Forecast, by BB (2024-2032)&lt;/em&gt;</v>
      </c>
    </row>
    <row r="878" spans="10:11" x14ac:dyDescent="0.25">
      <c r="J878" t="s">
        <v>1063</v>
      </c>
      <c r="K878" t="str">
        <f>REPLACE(IF(C2&gt;0,REPLACE(J878,69,8,C2),""),FIND("ABC",J878,1),3,$I$2)</f>
        <v>&lt;em&gt;9.8.3.3. Rest Of South America ABC Market Size and Forecast, by CC (2024-2032)&lt;/em&gt;</v>
      </c>
    </row>
    <row r="879" spans="10:11" x14ac:dyDescent="0.25">
      <c r="J879" t="s">
        <v>1064</v>
      </c>
      <c r="K879" t="str">
        <f>REPLACE(IF(D2&gt;0,REPLACE(J879,69,8,D2),""),FIND("ABC",J879,1),3,$I$2)</f>
        <v>&lt;em&gt;9.8.3.4. Rest Of South America ABC Market Size and Forecast, by DD (2024-2032)&lt;/em&gt;</v>
      </c>
    </row>
    <row r="880" spans="10:11" x14ac:dyDescent="0.25">
      <c r="J880" t="s">
        <v>1065</v>
      </c>
      <c r="K880" t="str">
        <f>REPLACE(IF(E2&gt;0,REPLACE(J880,69,8,E2),""),FIND("ABC",J880,1),3,$I$2)</f>
        <v>&lt;em&gt;9.8.3.5. Rest Of South America ABC Market Size and Forecast, by EE (2024-2032)&lt;/em&gt;</v>
      </c>
    </row>
    <row r="881" spans="10:11" x14ac:dyDescent="0.25">
      <c r="J881" t="s">
        <v>1066</v>
      </c>
      <c r="K881" t="str">
        <f>REPLACE(IF(F2&gt;0,REPLACE(J881,69,8,F2),""),FIND("ABC",J881,1),3,$I$2)</f>
        <v>&lt;em&gt;9.8.3.6. Rest Of South America ABC Market Size and Forecast, by FF (2024-2032)&lt;/em&gt;</v>
      </c>
    </row>
    <row r="882" spans="10:11" x14ac:dyDescent="0.25">
      <c r="J882" t="s">
        <v>1067</v>
      </c>
      <c r="K882" t="str">
        <f>REPLACE(IF(G2&gt;0,REPLACE(J882,69,8,G2),""),FIND("ABC",J882,1),3,$I$2)</f>
        <v>&lt;em&gt;9.8.3.7. Rest Of South America ABC Market Size and Forecast, by GG (2024-2032)&lt;/em&gt;</v>
      </c>
    </row>
    <row r="884" spans="10:11" x14ac:dyDescent="0.25">
      <c r="J884" t="s">
        <v>58</v>
      </c>
      <c r="K884" t="s">
        <v>58</v>
      </c>
    </row>
    <row r="885" spans="10:11" x14ac:dyDescent="0.25">
      <c r="J885" t="s">
        <v>87</v>
      </c>
      <c r="K885" t="str">
        <f>IF(H4&gt;0,REPLACE(J885,7,8,H4),"")</f>
        <v>10.1. Company1</v>
      </c>
    </row>
    <row r="886" spans="10:11" x14ac:dyDescent="0.25">
      <c r="J886" t="s">
        <v>59</v>
      </c>
      <c r="K886" t="s">
        <v>59</v>
      </c>
    </row>
    <row r="887" spans="10:11" x14ac:dyDescent="0.25">
      <c r="J887" t="s">
        <v>60</v>
      </c>
      <c r="K887" t="s">
        <v>60</v>
      </c>
    </row>
    <row r="888" spans="10:11" x14ac:dyDescent="0.25">
      <c r="J888" t="s">
        <v>61</v>
      </c>
      <c r="K888" t="s">
        <v>61</v>
      </c>
    </row>
    <row r="889" spans="10:11" x14ac:dyDescent="0.25">
      <c r="J889" t="s">
        <v>62</v>
      </c>
      <c r="K889" t="s">
        <v>62</v>
      </c>
    </row>
    <row r="890" spans="10:11" x14ac:dyDescent="0.25">
      <c r="J890" t="s">
        <v>63</v>
      </c>
      <c r="K890" t="s">
        <v>63</v>
      </c>
    </row>
    <row r="891" spans="10:11" x14ac:dyDescent="0.25">
      <c r="J891" t="s">
        <v>64</v>
      </c>
      <c r="K891" t="s">
        <v>64</v>
      </c>
    </row>
    <row r="892" spans="10:11" x14ac:dyDescent="0.25">
      <c r="J892" t="s">
        <v>65</v>
      </c>
      <c r="K892" t="s">
        <v>65</v>
      </c>
    </row>
    <row r="893" spans="10:11" x14ac:dyDescent="0.25">
      <c r="J893" t="s">
        <v>66</v>
      </c>
      <c r="K893" t="s">
        <v>66</v>
      </c>
    </row>
    <row r="894" spans="10:11" x14ac:dyDescent="0.25">
      <c r="J894" t="s">
        <v>67</v>
      </c>
      <c r="K894" t="s">
        <v>67</v>
      </c>
    </row>
    <row r="895" spans="10:11" x14ac:dyDescent="0.25">
      <c r="J895" t="s">
        <v>68</v>
      </c>
      <c r="K895" t="s">
        <v>68</v>
      </c>
    </row>
    <row r="896" spans="10:11" x14ac:dyDescent="0.25">
      <c r="J896" t="s">
        <v>88</v>
      </c>
      <c r="K896" t="str">
        <f t="shared" ref="K896:K903" si="75">IF(H5&gt;0,REPLACE(J896,7,8,H5),"")</f>
        <v/>
      </c>
    </row>
    <row r="897" spans="10:11" x14ac:dyDescent="0.25">
      <c r="J897" t="s">
        <v>89</v>
      </c>
      <c r="K897" t="str">
        <f t="shared" si="75"/>
        <v/>
      </c>
    </row>
    <row r="898" spans="10:11" x14ac:dyDescent="0.25">
      <c r="J898" t="s">
        <v>90</v>
      </c>
      <c r="K898" t="str">
        <f t="shared" si="75"/>
        <v/>
      </c>
    </row>
    <row r="899" spans="10:11" x14ac:dyDescent="0.25">
      <c r="J899" t="s">
        <v>91</v>
      </c>
      <c r="K899" t="str">
        <f t="shared" si="75"/>
        <v/>
      </c>
    </row>
    <row r="900" spans="10:11" x14ac:dyDescent="0.25">
      <c r="J900" t="s">
        <v>92</v>
      </c>
      <c r="K900" t="str">
        <f t="shared" si="75"/>
        <v/>
      </c>
    </row>
    <row r="901" spans="10:11" x14ac:dyDescent="0.25">
      <c r="J901" t="s">
        <v>93</v>
      </c>
      <c r="K901" t="str">
        <f t="shared" si="75"/>
        <v/>
      </c>
    </row>
    <row r="902" spans="10:11" x14ac:dyDescent="0.25">
      <c r="J902" t="s">
        <v>94</v>
      </c>
      <c r="K902" t="str">
        <f t="shared" si="75"/>
        <v/>
      </c>
    </row>
    <row r="903" spans="10:11" x14ac:dyDescent="0.25">
      <c r="J903" t="s">
        <v>95</v>
      </c>
      <c r="K903" t="str">
        <f t="shared" si="75"/>
        <v/>
      </c>
    </row>
    <row r="904" spans="10:11" x14ac:dyDescent="0.25">
      <c r="J904" t="s">
        <v>96</v>
      </c>
      <c r="K904" t="str">
        <f t="shared" ref="K904:K934" si="76">IF(H13&gt;0,REPLACE(J904,8,9,H13),"")</f>
        <v/>
      </c>
    </row>
    <row r="905" spans="10:11" x14ac:dyDescent="0.25">
      <c r="J905" t="s">
        <v>97</v>
      </c>
      <c r="K905" t="str">
        <f t="shared" si="76"/>
        <v/>
      </c>
    </row>
    <row r="906" spans="10:11" x14ac:dyDescent="0.25">
      <c r="J906" t="s">
        <v>98</v>
      </c>
      <c r="K906" t="str">
        <f t="shared" si="76"/>
        <v/>
      </c>
    </row>
    <row r="907" spans="10:11" x14ac:dyDescent="0.25">
      <c r="J907" t="s">
        <v>99</v>
      </c>
      <c r="K907" t="str">
        <f t="shared" si="76"/>
        <v/>
      </c>
    </row>
    <row r="908" spans="10:11" x14ac:dyDescent="0.25">
      <c r="J908" t="s">
        <v>100</v>
      </c>
      <c r="K908" t="str">
        <f t="shared" si="76"/>
        <v/>
      </c>
    </row>
    <row r="909" spans="10:11" x14ac:dyDescent="0.25">
      <c r="J909" t="s">
        <v>101</v>
      </c>
      <c r="K909" t="str">
        <f t="shared" si="76"/>
        <v/>
      </c>
    </row>
    <row r="910" spans="10:11" x14ac:dyDescent="0.25">
      <c r="J910" t="s">
        <v>102</v>
      </c>
      <c r="K910" t="str">
        <f t="shared" si="76"/>
        <v/>
      </c>
    </row>
    <row r="911" spans="10:11" x14ac:dyDescent="0.25">
      <c r="J911" t="s">
        <v>103</v>
      </c>
      <c r="K911" t="str">
        <f t="shared" si="76"/>
        <v/>
      </c>
    </row>
    <row r="912" spans="10:11" x14ac:dyDescent="0.25">
      <c r="J912" t="s">
        <v>104</v>
      </c>
      <c r="K912" t="str">
        <f t="shared" si="76"/>
        <v/>
      </c>
    </row>
    <row r="913" spans="10:11" x14ac:dyDescent="0.25">
      <c r="J913" t="s">
        <v>105</v>
      </c>
      <c r="K913" t="str">
        <f t="shared" si="76"/>
        <v/>
      </c>
    </row>
    <row r="914" spans="10:11" x14ac:dyDescent="0.25">
      <c r="J914" t="s">
        <v>106</v>
      </c>
      <c r="K914" t="str">
        <f t="shared" si="76"/>
        <v/>
      </c>
    </row>
    <row r="915" spans="10:11" x14ac:dyDescent="0.25">
      <c r="J915" t="s">
        <v>107</v>
      </c>
      <c r="K915" t="str">
        <f t="shared" si="76"/>
        <v/>
      </c>
    </row>
    <row r="916" spans="10:11" x14ac:dyDescent="0.25">
      <c r="J916" t="s">
        <v>108</v>
      </c>
      <c r="K916" t="str">
        <f t="shared" si="76"/>
        <v/>
      </c>
    </row>
    <row r="917" spans="10:11" x14ac:dyDescent="0.25">
      <c r="J917" t="s">
        <v>109</v>
      </c>
      <c r="K917" t="str">
        <f t="shared" si="76"/>
        <v/>
      </c>
    </row>
    <row r="918" spans="10:11" x14ac:dyDescent="0.25">
      <c r="J918" t="s">
        <v>110</v>
      </c>
      <c r="K918" t="str">
        <f t="shared" si="76"/>
        <v/>
      </c>
    </row>
    <row r="919" spans="10:11" x14ac:dyDescent="0.25">
      <c r="J919" t="s">
        <v>111</v>
      </c>
      <c r="K919" t="str">
        <f t="shared" si="76"/>
        <v/>
      </c>
    </row>
    <row r="920" spans="10:11" x14ac:dyDescent="0.25">
      <c r="J920" t="s">
        <v>112</v>
      </c>
      <c r="K920" t="str">
        <f t="shared" si="76"/>
        <v/>
      </c>
    </row>
    <row r="921" spans="10:11" x14ac:dyDescent="0.25">
      <c r="J921" t="s">
        <v>113</v>
      </c>
      <c r="K921" t="str">
        <f t="shared" si="76"/>
        <v/>
      </c>
    </row>
    <row r="922" spans="10:11" x14ac:dyDescent="0.25">
      <c r="J922" t="s">
        <v>114</v>
      </c>
      <c r="K922" t="str">
        <f t="shared" si="76"/>
        <v/>
      </c>
    </row>
    <row r="923" spans="10:11" x14ac:dyDescent="0.25">
      <c r="J923" t="s">
        <v>115</v>
      </c>
      <c r="K923" t="str">
        <f t="shared" si="76"/>
        <v/>
      </c>
    </row>
    <row r="924" spans="10:11" x14ac:dyDescent="0.25">
      <c r="J924" t="s">
        <v>116</v>
      </c>
      <c r="K924" t="str">
        <f t="shared" si="76"/>
        <v/>
      </c>
    </row>
    <row r="925" spans="10:11" x14ac:dyDescent="0.25">
      <c r="J925" t="s">
        <v>160</v>
      </c>
      <c r="K925" t="str">
        <f t="shared" si="76"/>
        <v/>
      </c>
    </row>
    <row r="926" spans="10:11" x14ac:dyDescent="0.25">
      <c r="J926" t="s">
        <v>161</v>
      </c>
      <c r="K926" t="str">
        <f t="shared" si="76"/>
        <v/>
      </c>
    </row>
    <row r="927" spans="10:11" x14ac:dyDescent="0.25">
      <c r="J927" t="s">
        <v>162</v>
      </c>
      <c r="K927" t="str">
        <f t="shared" si="76"/>
        <v/>
      </c>
    </row>
    <row r="928" spans="10:11" x14ac:dyDescent="0.25">
      <c r="J928" t="s">
        <v>163</v>
      </c>
      <c r="K928" t="str">
        <f t="shared" si="76"/>
        <v/>
      </c>
    </row>
    <row r="929" spans="10:11" x14ac:dyDescent="0.25">
      <c r="J929" t="s">
        <v>164</v>
      </c>
      <c r="K929" t="str">
        <f t="shared" si="76"/>
        <v/>
      </c>
    </row>
    <row r="930" spans="10:11" x14ac:dyDescent="0.25">
      <c r="J930" t="s">
        <v>165</v>
      </c>
      <c r="K930" t="str">
        <f t="shared" si="76"/>
        <v/>
      </c>
    </row>
    <row r="931" spans="10:11" x14ac:dyDescent="0.25">
      <c r="J931" t="s">
        <v>166</v>
      </c>
      <c r="K931" t="str">
        <f t="shared" si="76"/>
        <v/>
      </c>
    </row>
    <row r="932" spans="10:11" x14ac:dyDescent="0.25">
      <c r="J932" t="s">
        <v>167</v>
      </c>
      <c r="K932" t="str">
        <f t="shared" si="76"/>
        <v/>
      </c>
    </row>
    <row r="933" spans="10:11" x14ac:dyDescent="0.25">
      <c r="J933" t="s">
        <v>168</v>
      </c>
      <c r="K933" t="str">
        <f t="shared" si="76"/>
        <v/>
      </c>
    </row>
    <row r="934" spans="10:11" x14ac:dyDescent="0.25">
      <c r="J934" t="s">
        <v>169</v>
      </c>
      <c r="K934" t="str">
        <f t="shared" si="76"/>
        <v/>
      </c>
    </row>
    <row r="936" spans="10:11" x14ac:dyDescent="0.25">
      <c r="J936" t="s">
        <v>69</v>
      </c>
      <c r="K936" t="s">
        <v>69</v>
      </c>
    </row>
    <row r="938" spans="10:11" x14ac:dyDescent="0.25">
      <c r="J938" t="s">
        <v>70</v>
      </c>
      <c r="K938" t="s">
        <v>70</v>
      </c>
    </row>
    <row r="940" spans="10:11" x14ac:dyDescent="0.25">
      <c r="J940" t="s">
        <v>71</v>
      </c>
      <c r="K940" t="str">
        <f>REPLACE(J940,FIND("ABC",J940,1),3,I2)</f>
        <v>&lt;strong&gt;13. ABC Market: Research Methodology&lt;/strong&gt;</v>
      </c>
    </row>
    <row r="942" spans="10:11" x14ac:dyDescent="0.25">
      <c r="J942" t="s">
        <v>72</v>
      </c>
      <c r="K942" t="s">
        <v>72</v>
      </c>
    </row>
  </sheetData>
  <conditionalFormatting sqref="J113:J118">
    <cfRule type="uniqu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2-Seg</vt:lpstr>
      <vt:lpstr>3-Seg</vt:lpstr>
      <vt:lpstr>4-Seg</vt:lpstr>
      <vt:lpstr>5-Seg</vt:lpstr>
      <vt:lpstr>6-Seg</vt:lpstr>
      <vt:lpstr>7-Seg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2025-07-24T14:24:42Z</dcterms:modified>
</cp:coreProperties>
</file>